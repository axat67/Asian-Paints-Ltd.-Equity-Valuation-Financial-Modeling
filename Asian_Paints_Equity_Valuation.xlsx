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Financials" sheetId="1" r:id="rId5"/>
    <sheet state="visible" name="Financial Ratios" sheetId="2" r:id="rId6"/>
    <sheet state="visible" name="Assumptions" sheetId="3" r:id="rId7"/>
    <sheet state="visible" name="Forecast" sheetId="4" r:id="rId8"/>
    <sheet state="visible" name="WACC" sheetId="5" r:id="rId9"/>
    <sheet state="visible" name="DCF Valuation" sheetId="6" r:id="rId10"/>
    <sheet state="visible" name="Comparable Companies" sheetId="7" r:id="rId11"/>
    <sheet state="visible" name="Sensitivity Analysis" sheetId="8" r:id="rId12"/>
    <sheet state="visible" name="Valuation Summary" sheetId="9" r:id="rId13"/>
    <sheet state="visible" name="Dashboard" sheetId="10" r:id="rId14"/>
  </sheets>
  <definedNames/>
  <calcPr/>
</workbook>
</file>

<file path=xl/sharedStrings.xml><?xml version="1.0" encoding="utf-8"?>
<sst xmlns="http://schemas.openxmlformats.org/spreadsheetml/2006/main" count="325" uniqueCount="223">
  <si>
    <t>ASSUMPTIONS</t>
  </si>
  <si>
    <t>FINANCIAL RATIOS</t>
  </si>
  <si>
    <t>ASIAN PAINTS LIMITED — HISTORICAL FINANCIALS</t>
  </si>
  <si>
    <t>FORECAST</t>
  </si>
  <si>
    <t>Particulars</t>
  </si>
  <si>
    <t>₹ crore, except per-share data</t>
  </si>
  <si>
    <t>FY27</t>
  </si>
  <si>
    <t>FY28</t>
  </si>
  <si>
    <t>FY29</t>
  </si>
  <si>
    <t>FY30</t>
  </si>
  <si>
    <t>FY31</t>
  </si>
  <si>
    <t>Revenue Growth</t>
  </si>
  <si>
    <t>INCOME STATEMENT</t>
  </si>
  <si>
    <t>FY24</t>
  </si>
  <si>
    <t>FY25</t>
  </si>
  <si>
    <t>FY26</t>
  </si>
  <si>
    <t>FY26A</t>
  </si>
  <si>
    <t>FY27E</t>
  </si>
  <si>
    <t>FY28E</t>
  </si>
  <si>
    <t>FY29E</t>
  </si>
  <si>
    <t>FY30E</t>
  </si>
  <si>
    <t>FY31E</t>
  </si>
  <si>
    <t>Revenue</t>
  </si>
  <si>
    <t>EBITDA Margin</t>
  </si>
  <si>
    <t>EBIT Margin</t>
  </si>
  <si>
    <t>D&amp;A % Revenue</t>
  </si>
  <si>
    <t>Tax Rate</t>
  </si>
  <si>
    <t>FY23</t>
  </si>
  <si>
    <t>Accounts Receivable % Revenue</t>
  </si>
  <si>
    <t>Revenue from Sale of Products</t>
  </si>
  <si>
    <t>Inventory % Revenue</t>
  </si>
  <si>
    <t>Accounts Payable % Revenue</t>
  </si>
  <si>
    <t>Revenue from Sale of Services</t>
  </si>
  <si>
    <t>Capex % Revenue</t>
  </si>
  <si>
    <t>Net Profit Margin</t>
  </si>
  <si>
    <t>Other Operating Revenue</t>
  </si>
  <si>
    <t>Revenue from Operations</t>
  </si>
  <si>
    <t>DCF &amp; WACC ASSUMPTIONS</t>
  </si>
  <si>
    <t>Assumption</t>
  </si>
  <si>
    <t>Risk-Free Rate</t>
  </si>
  <si>
    <t>ROE</t>
  </si>
  <si>
    <t>Equity Risk Premium</t>
  </si>
  <si>
    <t>Other Income</t>
  </si>
  <si>
    <t>Beta</t>
  </si>
  <si>
    <t>Total Income</t>
  </si>
  <si>
    <t>Pre-Tax Cost of Debt</t>
  </si>
  <si>
    <t>EBITDA</t>
  </si>
  <si>
    <t>Terminal Growth</t>
  </si>
  <si>
    <t>Cost of Materials Consumed</t>
  </si>
  <si>
    <t>Purchases of Stock-in-Trade</t>
  </si>
  <si>
    <t>Changes in Inventories</t>
  </si>
  <si>
    <t>Employee Benefits Expense</t>
  </si>
  <si>
    <t>Other Expenses</t>
  </si>
  <si>
    <t>Total Expenses</t>
  </si>
  <si>
    <t>ROCE</t>
  </si>
  <si>
    <t>Finance Costs</t>
  </si>
  <si>
    <t>Depreciation &amp; Amortisation</t>
  </si>
  <si>
    <t>Profit Before Associates &amp; Exceptional Items</t>
  </si>
  <si>
    <t>D&amp;A</t>
  </si>
  <si>
    <t>Share of Profit in Associates</t>
  </si>
  <si>
    <t>Debt-to-Equity</t>
  </si>
  <si>
    <t>Profit Before Exceptional Items &amp; Tax</t>
  </si>
  <si>
    <t>Exceptional Items</t>
  </si>
  <si>
    <t>Profit Before Tax</t>
  </si>
  <si>
    <t>Total Tax Expense</t>
  </si>
  <si>
    <t>Profit After Tax</t>
  </si>
  <si>
    <t>EBIT</t>
  </si>
  <si>
    <t>Current Ratio</t>
  </si>
  <si>
    <t>PAT Attributable to Owners</t>
  </si>
  <si>
    <t>Diluted EPS (₹)</t>
  </si>
  <si>
    <t>BALANCE SHEET</t>
  </si>
  <si>
    <t>Asset Turnover</t>
  </si>
  <si>
    <t>Property, Plant &amp; Equipment</t>
  </si>
  <si>
    <t>Right-of-Use Assets</t>
  </si>
  <si>
    <t>Capital Work-in-Progress</t>
  </si>
  <si>
    <t>Tax</t>
  </si>
  <si>
    <t>Goodwill</t>
  </si>
  <si>
    <t>Other Intangible Assets</t>
  </si>
  <si>
    <t>Investments in Associates</t>
  </si>
  <si>
    <t>Interest Coverage</t>
  </si>
  <si>
    <t>Non-Current Investments</t>
  </si>
  <si>
    <t>Trade Receivables — Non-Current</t>
  </si>
  <si>
    <t>Other Financial Assets — Non-Current</t>
  </si>
  <si>
    <t>Deferred Tax Assets</t>
  </si>
  <si>
    <t>Income Tax Assets</t>
  </si>
  <si>
    <t>Other Non-Current Assets</t>
  </si>
  <si>
    <t>Total Non-Current Assets</t>
  </si>
  <si>
    <t>NOPAT</t>
  </si>
  <si>
    <t>Inventories</t>
  </si>
  <si>
    <t>Current Investments</t>
  </si>
  <si>
    <t>Trade Receivables — Current</t>
  </si>
  <si>
    <t>Cash &amp; Cash Equivalents</t>
  </si>
  <si>
    <t>Other Balances with Banks</t>
  </si>
  <si>
    <t>Other Current Financial Assets</t>
  </si>
  <si>
    <t>Model note</t>
  </si>
  <si>
    <t>Other Current Assets</t>
  </si>
  <si>
    <t>Total Current Assets</t>
  </si>
  <si>
    <t>Forecast uses the assumptions sheet; DCF will use EBIT, NOPAT, Capex and working capital.</t>
  </si>
  <si>
    <t>TOTAL ASSETS</t>
  </si>
  <si>
    <t>Equity Share Capital</t>
  </si>
  <si>
    <t>Other Equity</t>
  </si>
  <si>
    <t>Non-Controlling Interest</t>
  </si>
  <si>
    <t>TOTAL EQUITY</t>
  </si>
  <si>
    <t>Non-Current Borrowings</t>
  </si>
  <si>
    <t>Non-Current Lease Liabilities</t>
  </si>
  <si>
    <t>Other Financial Liabilities — Non-Current</t>
  </si>
  <si>
    <t>Provisions — Non-Current</t>
  </si>
  <si>
    <t>Deferred Tax Liabilities</t>
  </si>
  <si>
    <t>Other Non-Current Liabilities</t>
  </si>
  <si>
    <t>Total Non-Current Liabilities</t>
  </si>
  <si>
    <t>Current Borrowings</t>
  </si>
  <si>
    <t>Current Lease Liabilities</t>
  </si>
  <si>
    <t>Trade Payables — MSME</t>
  </si>
  <si>
    <t>Trade Payables — Others</t>
  </si>
  <si>
    <t>Other Financial Liabilities — Current</t>
  </si>
  <si>
    <t>Other Current Liabilities</t>
  </si>
  <si>
    <t>Provisions — Current</t>
  </si>
  <si>
    <t>Income Tax Liabilities</t>
  </si>
  <si>
    <t>Total Current Liabilities</t>
  </si>
  <si>
    <t>TOTAL EQUITY &amp; LIABILITIES</t>
  </si>
  <si>
    <t>WACC CALCULATION</t>
  </si>
  <si>
    <t>CASH FLOW STATEMENT</t>
  </si>
  <si>
    <t>Value</t>
  </si>
  <si>
    <t>CASH FLOW FROM OPERATING ACTIVITIES</t>
  </si>
  <si>
    <t>Interest Income</t>
  </si>
  <si>
    <t>Dividend Income</t>
  </si>
  <si>
    <t>Other Operating Adjustments</t>
  </si>
  <si>
    <t>Operating Profit Before Working Capital Changes</t>
  </si>
  <si>
    <t>DCF VALUATION</t>
  </si>
  <si>
    <t>Changes in Working Capital</t>
  </si>
  <si>
    <t>Cost of Equity</t>
  </si>
  <si>
    <t>Cash Generated from Operating Activities</t>
  </si>
  <si>
    <t>Income Tax Paid</t>
  </si>
  <si>
    <t>Net Cash Generated from Operating Activities</t>
  </si>
  <si>
    <t>INVESTING ACTIVITIES</t>
  </si>
  <si>
    <t>After-Tax Cost of Debt</t>
  </si>
  <si>
    <t>Purchase of PPE &amp; Intangibles</t>
  </si>
  <si>
    <t>Sale of PPE</t>
  </si>
  <si>
    <t>Payment for Right-of-Use Assets</t>
  </si>
  <si>
    <t>Other Investing Activities</t>
  </si>
  <si>
    <t>Interest &amp; Dividends Received</t>
  </si>
  <si>
    <t>Net Cash Used in Investing Activities</t>
  </si>
  <si>
    <t>Equity Value</t>
  </si>
  <si>
    <t xml:space="preserve">Asian Paints Ltd </t>
  </si>
  <si>
    <t>FINANCING ACTIVITIES</t>
  </si>
  <si>
    <t>Net Cash Used in Financing Activities</t>
  </si>
  <si>
    <t>FINAL CASH FLOW</t>
  </si>
  <si>
    <t>Net Increase / (Decrease) in Cash</t>
  </si>
  <si>
    <t>Debt Value</t>
  </si>
  <si>
    <t>Total Capital</t>
  </si>
  <si>
    <t>Equity Weight</t>
  </si>
  <si>
    <t>Debt Weight</t>
  </si>
  <si>
    <t>WACC</t>
  </si>
  <si>
    <t>COMPARABLE COMPANIES ANALYSIS</t>
  </si>
  <si>
    <t>Capex</t>
  </si>
  <si>
    <t>Company</t>
  </si>
  <si>
    <t>Market Cap</t>
  </si>
  <si>
    <t>Enterprise Value</t>
  </si>
  <si>
    <t>PAT</t>
  </si>
  <si>
    <t>P/E</t>
  </si>
  <si>
    <t>EV/EBITDA</t>
  </si>
  <si>
    <t>EV/Sales</t>
  </si>
  <si>
    <t>Asian Paints</t>
  </si>
  <si>
    <t>Accounts Receivable</t>
  </si>
  <si>
    <t>Berger Paints</t>
  </si>
  <si>
    <t>Kansai Nerolac</t>
  </si>
  <si>
    <t>Indigo Paints</t>
  </si>
  <si>
    <t>PEER MULTIPLE SUMMARY</t>
  </si>
  <si>
    <t>Metric</t>
  </si>
  <si>
    <t>Inventory</t>
  </si>
  <si>
    <t>Peer Median</t>
  </si>
  <si>
    <t>Accounts Payable</t>
  </si>
  <si>
    <t>DCF SENSITIVITY ANALYSIS</t>
  </si>
  <si>
    <t>WACC / Terminal Growth</t>
  </si>
  <si>
    <t>IMPLIED VALUATION — ASIAN PAINTS</t>
  </si>
  <si>
    <t>Method</t>
  </si>
  <si>
    <t>Asian Paints Metric</t>
  </si>
  <si>
    <t>Implied Enterprise/Equity Value</t>
  </si>
  <si>
    <t>Implied Value/Share</t>
  </si>
  <si>
    <t>VALUATION SUMMARY</t>
  </si>
  <si>
    <t>Net Working Capital</t>
  </si>
  <si>
    <t>Current Market Price</t>
  </si>
  <si>
    <t>DCF Intrinsic Value</t>
  </si>
  <si>
    <t>DCF Upside / (Downside)</t>
  </si>
  <si>
    <t>Change in NWC</t>
  </si>
  <si>
    <t>P/E Implied Value</t>
  </si>
  <si>
    <t>EV/EBITDA Implied Value</t>
  </si>
  <si>
    <t>EV/Sales Implied Value</t>
  </si>
  <si>
    <t>FCFF</t>
  </si>
  <si>
    <t>Average Comparable Value</t>
  </si>
  <si>
    <t>Discount Period</t>
  </si>
  <si>
    <t>VALUATION METHOD COMPARISON</t>
  </si>
  <si>
    <t>Premium / (Discount) to Market</t>
  </si>
  <si>
    <t>Discount Factor</t>
  </si>
  <si>
    <t>DCF</t>
  </si>
  <si>
    <t>PV of FCFF</t>
  </si>
  <si>
    <t>KEY VALUATION OUTPUT</t>
  </si>
  <si>
    <t>DCF Intrinsic Value / Share</t>
  </si>
  <si>
    <t>Average Comparable Value / Share</t>
  </si>
  <si>
    <t>Terminal Value</t>
  </si>
  <si>
    <t>PV of Terminal Value</t>
  </si>
  <si>
    <t>Less: Debt</t>
  </si>
  <si>
    <t>Add: Cash</t>
  </si>
  <si>
    <t>Shares Outstanding</t>
  </si>
  <si>
    <t>Intrinsic Value Per Share</t>
  </si>
  <si>
    <t>ASIAN PAINTS LTD.</t>
  </si>
  <si>
    <t>EQUITY VALUATION &amp; FINANCIAL MODEL  |  FY23A–FY31E</t>
  </si>
  <si>
    <t>CURRENT MARKET PRICE</t>
  </si>
  <si>
    <t>DCF INTRINSIC VALUE</t>
  </si>
  <si>
    <t>AVERAGE COMPARABLE VALUE</t>
  </si>
  <si>
    <t>DCF UPSIDE / (DOWNSIDE)</t>
  </si>
  <si>
    <t>VALUATION COMPARISON</t>
  </si>
  <si>
    <t>FY26A FINANCIAL SNAPSHOT</t>
  </si>
  <si>
    <t>Premium / (Discount)</t>
  </si>
  <si>
    <t>Market Price</t>
  </si>
  <si>
    <t>HISTORICAL PROFITABILITY</t>
  </si>
  <si>
    <t>FORECAST SNAPSHOT</t>
  </si>
  <si>
    <t>KEY VALUATION ASSUMPTIONS</t>
  </si>
  <si>
    <t>DCF SENSITIVITY — VALUE / SHARE</t>
  </si>
  <si>
    <t>WACC / Growth</t>
  </si>
  <si>
    <t>Dashboard note: FY26A is actual; FY27E–FY31E are model forecasts. Valuation outputs are sourced from the underlying DCF and comparable-company analysis.</t>
  </si>
  <si>
    <t>BASE CASE DCF</t>
  </si>
  <si>
    <t>₹742.07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</si>
</sst>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.00"/>
    <numFmt numFmtId="165" formatCode="0.00x"/>
    <numFmt numFmtId="166" formatCode="\₹#,##0.00"/>
    <numFmt numFmtId="167" formatCode="\₹#,##0"/>
    <numFmt numFmtId="168" formatCode="0.00\x"/>
  </numFmts>
  <fonts count="23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/>
    <font>
      <b/>
      <color theme="1"/>
      <name val="Calibri"/>
      <scheme val="minor"/>
    </font>
    <font>
      <i/>
      <color rgb="FF666666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i/>
      <sz val="9.0"/>
      <color rgb="FF999999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color rgb="FF0000FF"/>
    </font>
    <font>
      <sz val="14.0"/>
      <color rgb="FFFFFFFF"/>
      <name val="Calibri"/>
      <scheme val="minor"/>
    </font>
    <font>
      <b/>
      <sz val="22.0"/>
      <color rgb="FFFFFFFF"/>
      <name val="Cambria"/>
    </font>
    <font>
      <b/>
      <color rgb="FF6B7280"/>
      <name val="Cambria"/>
    </font>
    <font>
      <b/>
      <sz val="9.0"/>
      <color rgb="FFFFFFFF"/>
      <name val="Cambria"/>
    </font>
    <font>
      <b/>
      <sz val="18.0"/>
      <color rgb="FF17365D"/>
      <name val="Cambria"/>
    </font>
    <font>
      <b/>
      <sz val="18.0"/>
      <color rgb="FFC00000"/>
      <name val="Cambria"/>
    </font>
    <font>
      <b/>
      <sz val="11.0"/>
      <color rgb="FFFFFFFF"/>
      <name val="Cambria"/>
    </font>
    <font>
      <b/>
      <sz val="11.0"/>
      <color rgb="FF1F2937"/>
      <name val="Cambria"/>
    </font>
    <font>
      <b/>
      <sz val="11.0"/>
      <color rgb="FF17365D"/>
      <name val="Cambria"/>
    </font>
    <font>
      <i/>
      <sz val="9.0"/>
      <color rgb="FF6B7280"/>
      <name val="Cambria"/>
    </font>
    <font>
      <b/>
      <sz val="20.0"/>
      <color rgb="FF17365D"/>
      <name val="Cambria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17365D"/>
        <bgColor rgb="FF17365D"/>
      </patternFill>
    </fill>
    <fill>
      <patternFill patternType="solid">
        <fgColor rgb="FFF7F9FC"/>
        <bgColor rgb="FFF7F9FC"/>
      </patternFill>
    </fill>
    <fill>
      <patternFill patternType="solid">
        <fgColor rgb="FF2F75B5"/>
        <bgColor rgb="FF2F75B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F2CC"/>
        <bgColor rgb="FFFCF2CC"/>
      </patternFill>
    </fill>
  </fills>
  <borders count="21">
    <border/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B7B7B7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9E1F2"/>
      </left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top/>
      <bottom/>
    </border>
    <border>
      <bottom style="thin">
        <color rgb="FFD9E1F2"/>
      </bottom>
    </border>
    <border>
      <left/>
      <right/>
      <top/>
      <bottom style="thin">
        <color rgb="FFD9E1F2"/>
      </bottom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3" fillId="0" fontId="3" numFmtId="0" xfId="0" applyBorder="1" applyFont="1"/>
    <xf borderId="4" fillId="3" fontId="4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0" fillId="0" fontId="2" numFmtId="10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2" fontId="6" numFmtId="0" xfId="0" applyAlignment="1" applyBorder="1" applyFill="1" applyFont="1">
      <alignment vertical="center"/>
    </xf>
    <xf borderId="0" fillId="0" fontId="2" numFmtId="4" xfId="0" applyAlignment="1" applyFont="1" applyNumberFormat="1">
      <alignment vertical="center"/>
    </xf>
    <xf borderId="1" fillId="2" fontId="2" numFmtId="0" xfId="0" applyAlignment="1" applyBorder="1" applyFill="1" applyFont="1">
      <alignment vertical="center"/>
    </xf>
    <xf borderId="0" fillId="0" fontId="7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right" readingOrder="0"/>
    </xf>
    <xf borderId="0" fillId="0" fontId="2" numFmtId="164" xfId="0" applyAlignment="1" applyFont="1" applyNumberFormat="1">
      <alignment readingOrder="0" vertical="center"/>
    </xf>
    <xf borderId="0" fillId="0" fontId="2" numFmtId="165" xfId="0" applyAlignment="1" applyFont="1" applyNumberFormat="1">
      <alignment vertical="center"/>
    </xf>
    <xf borderId="0" fillId="0" fontId="4" numFmtId="164" xfId="0" applyAlignment="1" applyFont="1" applyNumberFormat="1">
      <alignment readingOrder="0" vertical="center"/>
    </xf>
    <xf borderId="0" fillId="0" fontId="2" numFmtId="4" xfId="0" applyAlignment="1" applyFont="1" applyNumberFormat="1">
      <alignment readingOrder="0" vertical="center"/>
    </xf>
    <xf borderId="0" fillId="0" fontId="7" numFmtId="4" xfId="0" applyAlignment="1" applyFont="1" applyNumberFormat="1">
      <alignment horizontal="right" readingOrder="0"/>
    </xf>
    <xf borderId="0" fillId="0" fontId="7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2" fontId="1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10" xfId="0" applyFont="1" applyNumberFormat="1"/>
    <xf borderId="0" fillId="3" fontId="4" numFmtId="0" xfId="0" applyAlignment="1" applyFill="1" applyFont="1">
      <alignment horizontal="center" readingOrder="0"/>
    </xf>
    <xf borderId="0" fillId="0" fontId="7" numFmtId="165" xfId="0" applyFont="1" applyNumberFormat="1"/>
    <xf borderId="0" fillId="3" fontId="9" numFmtId="0" xfId="0" applyAlignment="1" applyFill="1" applyFont="1">
      <alignment horizontal="center" readingOrder="0" shrinkToFit="0" vertical="bottom" wrapText="0"/>
    </xf>
    <xf borderId="0" fillId="0" fontId="7" numFmtId="4" xfId="0" applyFont="1" applyNumberFormat="1"/>
    <xf borderId="0" fillId="0" fontId="7" numFmtId="9" xfId="0" applyFont="1" applyNumberFormat="1"/>
    <xf borderId="0" fillId="0" fontId="7" numFmtId="164" xfId="0" applyAlignment="1" applyFont="1" applyNumberFormat="1">
      <alignment readingOrder="0"/>
    </xf>
    <xf borderId="0" fillId="0" fontId="10" numFmtId="4" xfId="0" applyAlignment="1" applyFont="1" applyNumberForma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7" numFmtId="164" xfId="0" applyFont="1" applyNumberFormat="1"/>
    <xf borderId="0" fillId="2" fontId="12" numFmtId="0" xfId="0" applyAlignment="1" applyFill="1" applyFont="1">
      <alignment readingOrder="0"/>
    </xf>
    <xf borderId="0" fillId="0" fontId="7" numFmtId="0" xfId="0" applyFont="1"/>
    <xf borderId="0" fillId="0" fontId="10" numFmtId="0" xfId="0" applyAlignment="1" applyFont="1">
      <alignment readingOrder="0" shrinkToFit="0" vertical="bottom" wrapText="0"/>
    </xf>
    <xf borderId="0" fillId="3" fontId="4" numFmtId="10" xfId="0" applyAlignment="1" applyFill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10" numFmtId="0" xfId="0" applyAlignment="1" applyFont="1">
      <alignment shrinkToFit="0" vertical="bottom" wrapText="0"/>
    </xf>
    <xf borderId="0" fillId="0" fontId="4" numFmtId="164" xfId="0" applyFont="1" applyNumberFormat="1"/>
    <xf borderId="0" fillId="0" fontId="7" numFmtId="10" xfId="0" applyAlignment="1" applyFont="1" applyNumberFormat="1">
      <alignment readingOrder="0"/>
    </xf>
    <xf borderId="5" fillId="4" fontId="13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0" fillId="0" fontId="2" numFmtId="0" xfId="0" applyAlignment="1" applyFont="1">
      <alignment vertical="bottom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14" numFmtId="0" xfId="0" applyAlignment="1" applyFont="1">
      <alignment horizontal="center" vertical="bottom"/>
    </xf>
    <xf borderId="2" fillId="4" fontId="15" numFmtId="0" xfId="0" applyAlignment="1" applyBorder="1" applyFill="1" applyFont="1">
      <alignment horizontal="center"/>
    </xf>
    <xf borderId="11" fillId="5" fontId="16" numFmtId="166" xfId="0" applyAlignment="1" applyBorder="1" applyFill="1" applyFont="1" applyNumberFormat="1">
      <alignment horizontal="center"/>
    </xf>
    <xf borderId="12" fillId="0" fontId="3" numFmtId="0" xfId="0" applyBorder="1" applyFont="1"/>
    <xf borderId="11" fillId="5" fontId="17" numFmtId="10" xfId="0" applyAlignment="1" applyBorder="1" applyFill="1" applyFont="1" applyNumberForma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2" fillId="4" fontId="18" numFmtId="0" xfId="0" applyBorder="1" applyFill="1" applyFont="1"/>
    <xf borderId="17" fillId="0" fontId="3" numFmtId="0" xfId="0" applyBorder="1" applyFont="1"/>
    <xf borderId="1" fillId="6" fontId="18" numFmtId="0" xfId="0" applyAlignment="1" applyBorder="1" applyFill="1" applyFont="1">
      <alignment horizontal="center" vertical="bottom"/>
    </xf>
    <xf borderId="9" fillId="7" fontId="18" numFmtId="0" xfId="0" applyBorder="1" applyFill="1" applyFont="1"/>
    <xf borderId="18" fillId="0" fontId="19" numFmtId="0" xfId="0" applyAlignment="1" applyBorder="1" applyFont="1">
      <alignment vertical="bottom"/>
    </xf>
    <xf borderId="18" fillId="0" fontId="20" numFmtId="166" xfId="0" applyAlignment="1" applyBorder="1" applyFont="1" applyNumberFormat="1">
      <alignment horizontal="right" vertical="bottom"/>
    </xf>
    <xf borderId="18" fillId="0" fontId="3" numFmtId="0" xfId="0" applyBorder="1" applyFont="1"/>
    <xf borderId="18" fillId="0" fontId="2" numFmtId="0" xfId="0" applyAlignment="1" applyBorder="1" applyFont="1">
      <alignment vertical="bottom"/>
    </xf>
    <xf borderId="19" fillId="8" fontId="2" numFmtId="166" xfId="0" applyAlignment="1" applyBorder="1" applyFill="1" applyFont="1" applyNumberFormat="1">
      <alignment horizontal="right" vertical="bottom"/>
    </xf>
    <xf borderId="18" fillId="0" fontId="2" numFmtId="10" xfId="0" applyAlignment="1" applyBorder="1" applyFont="1" applyNumberFormat="1">
      <alignment horizontal="right" vertical="bottom"/>
    </xf>
    <xf borderId="18" fillId="0" fontId="2" numFmtId="166" xfId="0" applyAlignment="1" applyBorder="1" applyFont="1" applyNumberFormat="1">
      <alignment horizontal="right" vertical="bottom"/>
    </xf>
    <xf borderId="18" fillId="0" fontId="20" numFmtId="10" xfId="0" applyAlignment="1" applyBorder="1" applyFont="1" applyNumberFormat="1">
      <alignment horizontal="right" vertical="bottom"/>
    </xf>
    <xf borderId="18" fillId="0" fontId="2" numFmtId="167" xfId="0" applyAlignment="1" applyBorder="1" applyFont="1" applyNumberFormat="1">
      <alignment horizontal="right" vertical="bottom"/>
    </xf>
    <xf borderId="3" fillId="7" fontId="18" numFmtId="0" xfId="0" applyBorder="1" applyFill="1" applyFont="1"/>
    <xf borderId="18" fillId="0" fontId="20" numFmtId="10" xfId="0" applyAlignment="1" applyBorder="1" applyFont="1" applyNumberFormat="1">
      <alignment horizontal="right" readingOrder="0" vertical="bottom"/>
    </xf>
    <xf borderId="1" fillId="6" fontId="18" numFmtId="10" xfId="0" applyAlignment="1" applyBorder="1" applyFill="1" applyFont="1" applyNumberFormat="1">
      <alignment horizontal="center" vertical="bottom"/>
    </xf>
    <xf borderId="0" fillId="0" fontId="2" numFmtId="10" xfId="0" applyAlignment="1" applyFont="1" applyNumberFormat="1">
      <alignment horizontal="right" vertical="bottom"/>
    </xf>
    <xf borderId="18" fillId="9" fontId="2" numFmtId="167" xfId="0" applyAlignment="1" applyBorder="1" applyFill="1" applyFont="1" applyNumberFormat="1">
      <alignment horizontal="center" vertical="bottom"/>
    </xf>
    <xf borderId="0" fillId="0" fontId="21" numFmtId="0" xfId="0" applyAlignment="1" applyFont="1">
      <alignment shrinkToFit="0" wrapText="1"/>
    </xf>
    <xf borderId="20" fillId="0" fontId="20" numFmtId="167" xfId="0" applyAlignment="1" applyBorder="1" applyFont="1" applyNumberFormat="1">
      <alignment horizontal="center" shrinkToFit="0" vertical="bottom" wrapText="0"/>
    </xf>
    <xf borderId="18" fillId="0" fontId="20" numFmtId="168" xfId="0" applyAlignment="1" applyBorder="1" applyFont="1" applyNumberFormat="1">
      <alignment horizontal="right" vertical="bottom"/>
    </xf>
    <xf borderId="2" fillId="4" fontId="18" numFmtId="0" xfId="0" applyAlignment="1" applyBorder="1" applyFill="1" applyFont="1">
      <alignment horizontal="center" vertical="bottom"/>
    </xf>
    <xf borderId="5" fillId="8" fontId="2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21</xdr:row>
      <xdr:rowOff>142875</xdr:rowOff>
    </xdr:from>
    <xdr:ext cx="6353175" cy="2590800"/>
    <xdr:pic>
      <xdr:nvPicPr>
        <xdr:cNvPr id="171054287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21</xdr:row>
      <xdr:rowOff>133350</xdr:rowOff>
    </xdr:from>
    <xdr:ext cx="6400800" cy="2619375"/>
    <xdr:pic>
      <xdr:nvPicPr>
        <xdr:cNvPr id="120893064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reener.in/company/ASIANPAINT/consolidated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5" width="15.0"/>
    <col customWidth="1" min="6" max="26" width="8.71"/>
  </cols>
  <sheetData>
    <row r="1">
      <c r="A1" s="2" t="s">
        <v>2</v>
      </c>
      <c r="B1" s="4"/>
      <c r="C1" s="3"/>
      <c r="D1" s="3"/>
      <c r="E1" s="3"/>
    </row>
    <row r="2">
      <c r="A2" s="6" t="s">
        <v>5</v>
      </c>
      <c r="B2" s="3"/>
      <c r="C2" s="3"/>
      <c r="D2" s="3"/>
      <c r="E2" s="3"/>
    </row>
    <row r="3">
      <c r="A3" s="3"/>
      <c r="B3" s="3"/>
      <c r="C3" s="3"/>
      <c r="D3" s="3"/>
      <c r="E3" s="3"/>
    </row>
    <row r="4" ht="21.75" customHeight="1">
      <c r="A4" s="9" t="s">
        <v>12</v>
      </c>
      <c r="B4" s="11"/>
      <c r="C4" s="11"/>
      <c r="D4" s="11"/>
      <c r="E4" s="11"/>
    </row>
    <row r="5">
      <c r="A5" s="5" t="s">
        <v>4</v>
      </c>
      <c r="B5" s="5" t="s">
        <v>27</v>
      </c>
      <c r="C5" s="5" t="s">
        <v>13</v>
      </c>
      <c r="D5" s="5" t="s">
        <v>14</v>
      </c>
      <c r="E5" s="5" t="s">
        <v>15</v>
      </c>
    </row>
    <row r="6">
      <c r="A6" s="3" t="s">
        <v>29</v>
      </c>
      <c r="B6" s="12">
        <v>34253.35</v>
      </c>
      <c r="C6" s="12">
        <v>35248.88</v>
      </c>
      <c r="D6" s="12">
        <v>33626.82</v>
      </c>
      <c r="E6" s="12">
        <v>35416.25</v>
      </c>
      <c r="I6" s="13"/>
      <c r="J6" s="14"/>
      <c r="K6" s="13"/>
      <c r="L6" s="13"/>
      <c r="M6" s="13"/>
      <c r="N6" s="13"/>
    </row>
    <row r="7">
      <c r="A7" s="3" t="s">
        <v>32</v>
      </c>
      <c r="B7" s="12">
        <v>114.48</v>
      </c>
      <c r="C7" s="12">
        <v>133.24</v>
      </c>
      <c r="D7" s="12">
        <v>170.54</v>
      </c>
      <c r="E7" s="12">
        <v>100.12</v>
      </c>
      <c r="I7" s="15"/>
    </row>
    <row r="8">
      <c r="A8" s="3" t="s">
        <v>35</v>
      </c>
      <c r="B8" s="12">
        <v>120.76</v>
      </c>
      <c r="C8" s="12">
        <v>112.61</v>
      </c>
      <c r="D8" s="12">
        <v>108.26</v>
      </c>
      <c r="E8" s="12">
        <v>67.17</v>
      </c>
      <c r="I8" s="15"/>
    </row>
    <row r="9">
      <c r="A9" s="3" t="s">
        <v>36</v>
      </c>
      <c r="B9" s="16">
        <f t="shared" ref="B9:E9" si="1">SUM(B6:B8)</f>
        <v>34488.59</v>
      </c>
      <c r="C9" s="16">
        <f t="shared" si="1"/>
        <v>35494.73</v>
      </c>
      <c r="D9" s="16">
        <f t="shared" si="1"/>
        <v>33905.62</v>
      </c>
      <c r="E9" s="16">
        <f t="shared" si="1"/>
        <v>35583.54</v>
      </c>
      <c r="I9" s="15"/>
    </row>
    <row r="10">
      <c r="A10" s="3" t="s">
        <v>42</v>
      </c>
      <c r="B10" s="12">
        <v>386.48</v>
      </c>
      <c r="C10" s="12">
        <v>687.96</v>
      </c>
      <c r="D10" s="12">
        <v>572.61</v>
      </c>
      <c r="E10" s="12">
        <v>723.8</v>
      </c>
      <c r="I10" s="15"/>
    </row>
    <row r="11">
      <c r="A11" s="3" t="s">
        <v>44</v>
      </c>
      <c r="B11" s="16">
        <f t="shared" ref="B11:E11" si="2">B9+B10</f>
        <v>34875.07</v>
      </c>
      <c r="C11" s="16">
        <f t="shared" si="2"/>
        <v>36182.69</v>
      </c>
      <c r="D11" s="16">
        <f t="shared" si="2"/>
        <v>34478.23</v>
      </c>
      <c r="E11" s="16">
        <f t="shared" si="2"/>
        <v>36307.34</v>
      </c>
      <c r="I11" s="13"/>
      <c r="J11" s="14"/>
      <c r="K11" s="13"/>
      <c r="L11" s="13"/>
      <c r="M11" s="13"/>
      <c r="N11" s="13"/>
    </row>
    <row r="12">
      <c r="A12" s="3" t="s">
        <v>48</v>
      </c>
      <c r="B12" s="12">
        <v>17330.58</v>
      </c>
      <c r="C12" s="12">
        <v>15868.21</v>
      </c>
      <c r="D12" s="12">
        <v>15793.92</v>
      </c>
      <c r="E12" s="12">
        <v>15384.05</v>
      </c>
      <c r="I12" s="15"/>
    </row>
    <row r="13">
      <c r="A13" s="3" t="s">
        <v>49</v>
      </c>
      <c r="B13" s="12">
        <v>4135.65</v>
      </c>
      <c r="C13" s="12">
        <v>3858.2</v>
      </c>
      <c r="D13" s="12">
        <v>3926.86</v>
      </c>
      <c r="E13" s="12">
        <v>4014.05</v>
      </c>
      <c r="I13" s="15"/>
    </row>
    <row r="14">
      <c r="A14" s="3" t="s">
        <v>50</v>
      </c>
      <c r="B14" s="12">
        <v>-309.73</v>
      </c>
      <c r="C14" s="12">
        <v>363.8</v>
      </c>
      <c r="D14" s="12">
        <v>-205.0</v>
      </c>
      <c r="E14" s="12">
        <v>603.68</v>
      </c>
      <c r="I14" s="15"/>
    </row>
    <row r="15">
      <c r="A15" s="3" t="s">
        <v>51</v>
      </c>
      <c r="B15" s="12">
        <v>2028.07</v>
      </c>
      <c r="C15" s="12">
        <v>2326.18</v>
      </c>
      <c r="D15" s="12">
        <v>2597.23</v>
      </c>
      <c r="E15" s="12">
        <v>2799.59</v>
      </c>
      <c r="I15" s="15"/>
    </row>
    <row r="16">
      <c r="A16" s="3" t="s">
        <v>52</v>
      </c>
      <c r="B16" s="12">
        <v>5044.18</v>
      </c>
      <c r="C16" s="12">
        <v>5493.36</v>
      </c>
      <c r="D16" s="12">
        <v>5786.4</v>
      </c>
      <c r="E16" s="12">
        <v>6086.25</v>
      </c>
      <c r="I16" s="15"/>
    </row>
    <row r="17">
      <c r="A17" s="3" t="s">
        <v>53</v>
      </c>
      <c r="B17" s="16">
        <f t="shared" ref="B17:E17" si="3">SUM(B12:B16)</f>
        <v>28228.75</v>
      </c>
      <c r="C17" s="16">
        <f t="shared" si="3"/>
        <v>27909.75</v>
      </c>
      <c r="D17" s="16">
        <f t="shared" si="3"/>
        <v>27899.41</v>
      </c>
      <c r="E17" s="16">
        <f t="shared" si="3"/>
        <v>28887.62</v>
      </c>
      <c r="I17" s="15"/>
    </row>
    <row r="18">
      <c r="A18" s="8" t="s">
        <v>46</v>
      </c>
      <c r="B18" s="18">
        <f t="shared" ref="B18:E18" si="4">B11-B17</f>
        <v>6646.32</v>
      </c>
      <c r="C18" s="18">
        <f t="shared" si="4"/>
        <v>8272.94</v>
      </c>
      <c r="D18" s="18">
        <f t="shared" si="4"/>
        <v>6578.82</v>
      </c>
      <c r="E18" s="18">
        <f t="shared" si="4"/>
        <v>7419.72</v>
      </c>
      <c r="I18" s="15"/>
    </row>
    <row r="19">
      <c r="A19" s="3" t="s">
        <v>55</v>
      </c>
      <c r="B19" s="12">
        <v>144.45</v>
      </c>
      <c r="C19" s="12">
        <v>205.17</v>
      </c>
      <c r="D19" s="12">
        <v>227.02</v>
      </c>
      <c r="E19" s="12">
        <v>195.41</v>
      </c>
      <c r="I19" s="15"/>
    </row>
    <row r="20">
      <c r="A20" s="3" t="s">
        <v>56</v>
      </c>
      <c r="B20" s="12">
        <v>858.02</v>
      </c>
      <c r="C20" s="12">
        <v>853.0</v>
      </c>
      <c r="D20" s="12">
        <v>1026.34</v>
      </c>
      <c r="E20" s="12">
        <v>1228.85</v>
      </c>
      <c r="I20" s="15"/>
      <c r="K20" s="15"/>
      <c r="L20" s="15"/>
      <c r="M20" s="15"/>
      <c r="N20" s="15"/>
    </row>
    <row r="21" ht="15.75" customHeight="1">
      <c r="A21" s="3" t="s">
        <v>57</v>
      </c>
      <c r="B21" s="16">
        <f t="shared" ref="B21:E21" si="5">B18-B19-B20</f>
        <v>5643.85</v>
      </c>
      <c r="C21" s="16">
        <f t="shared" si="5"/>
        <v>7214.77</v>
      </c>
      <c r="D21" s="16">
        <f t="shared" si="5"/>
        <v>5325.46</v>
      </c>
      <c r="E21" s="16">
        <f t="shared" si="5"/>
        <v>5995.46</v>
      </c>
      <c r="F21" s="19"/>
      <c r="I21" s="15"/>
      <c r="K21" s="20"/>
      <c r="L21" s="20"/>
      <c r="M21" s="20"/>
      <c r="N21" s="20"/>
    </row>
    <row r="22" ht="15.75" customHeight="1">
      <c r="A22" s="3" t="s">
        <v>59</v>
      </c>
      <c r="B22" s="12">
        <v>93.85</v>
      </c>
      <c r="C22" s="12">
        <v>133.0</v>
      </c>
      <c r="D22" s="12">
        <v>140.71</v>
      </c>
      <c r="E22" s="12">
        <v>165.59</v>
      </c>
    </row>
    <row r="23" ht="15.75" customHeight="1">
      <c r="A23" s="3" t="s">
        <v>61</v>
      </c>
      <c r="B23" s="16">
        <f t="shared" ref="B23:E23" si="6">B21+B22</f>
        <v>5737.7</v>
      </c>
      <c r="C23" s="16">
        <f t="shared" si="6"/>
        <v>7347.77</v>
      </c>
      <c r="D23" s="16">
        <f t="shared" si="6"/>
        <v>5466.17</v>
      </c>
      <c r="E23" s="16">
        <f t="shared" si="6"/>
        <v>6161.05</v>
      </c>
    </row>
    <row r="24" ht="15.75" customHeight="1">
      <c r="A24" s="3" t="s">
        <v>62</v>
      </c>
      <c r="B24" s="22">
        <v>48.87</v>
      </c>
      <c r="C24" s="22">
        <v>0.0</v>
      </c>
      <c r="D24" s="22">
        <v>363.1</v>
      </c>
      <c r="E24" s="22">
        <v>157.61</v>
      </c>
    </row>
    <row r="25" ht="15.75" customHeight="1">
      <c r="A25" s="3" t="s">
        <v>63</v>
      </c>
      <c r="B25" s="16">
        <f t="shared" ref="B25:E25" si="7">B23-B24</f>
        <v>5688.83</v>
      </c>
      <c r="C25" s="16">
        <f t="shared" si="7"/>
        <v>7347.77</v>
      </c>
      <c r="D25" s="16">
        <f t="shared" si="7"/>
        <v>5103.07</v>
      </c>
      <c r="E25" s="16">
        <f t="shared" si="7"/>
        <v>6003.44</v>
      </c>
    </row>
    <row r="26" ht="15.75" customHeight="1">
      <c r="A26" s="3" t="s">
        <v>64</v>
      </c>
      <c r="B26" s="22">
        <v>1493.5</v>
      </c>
      <c r="C26" s="22">
        <v>1790.08</v>
      </c>
      <c r="D26" s="22">
        <v>1393.36</v>
      </c>
      <c r="E26" s="22">
        <v>1608.75</v>
      </c>
    </row>
    <row r="27" ht="15.75" customHeight="1">
      <c r="A27" s="8" t="s">
        <v>65</v>
      </c>
      <c r="B27" s="18">
        <f t="shared" ref="B27:E27" si="8">B25-B26</f>
        <v>4195.33</v>
      </c>
      <c r="C27" s="18">
        <f t="shared" si="8"/>
        <v>5557.69</v>
      </c>
      <c r="D27" s="18">
        <f t="shared" si="8"/>
        <v>3709.71</v>
      </c>
      <c r="E27" s="18">
        <f t="shared" si="8"/>
        <v>4394.69</v>
      </c>
    </row>
    <row r="28" ht="15.75" customHeight="1">
      <c r="A28" s="8" t="s">
        <v>68</v>
      </c>
      <c r="B28" s="23">
        <v>4106.45</v>
      </c>
      <c r="C28" s="23">
        <v>5460.23</v>
      </c>
      <c r="D28" s="23">
        <v>3667.23</v>
      </c>
      <c r="E28" s="23">
        <v>4325.35</v>
      </c>
    </row>
    <row r="29" ht="15.75" customHeight="1">
      <c r="A29" s="8" t="s">
        <v>69</v>
      </c>
      <c r="B29" s="23">
        <v>42.82</v>
      </c>
      <c r="C29" s="23">
        <v>56.94</v>
      </c>
      <c r="D29" s="23">
        <v>38.25</v>
      </c>
      <c r="E29" s="23">
        <v>45.11</v>
      </c>
    </row>
    <row r="30" ht="15.75" customHeight="1">
      <c r="A30" s="3"/>
      <c r="B30" s="3"/>
      <c r="C30" s="3"/>
      <c r="D30" s="3"/>
      <c r="E30" s="3"/>
    </row>
    <row r="31" ht="21.75" customHeight="1">
      <c r="A31" s="9" t="s">
        <v>70</v>
      </c>
      <c r="B31" s="11"/>
      <c r="C31" s="11"/>
      <c r="D31" s="11"/>
      <c r="E31" s="11"/>
    </row>
    <row r="32" ht="15.75" customHeight="1">
      <c r="A32" s="5" t="s">
        <v>4</v>
      </c>
      <c r="B32" s="5" t="s">
        <v>27</v>
      </c>
      <c r="C32" s="5" t="s">
        <v>13</v>
      </c>
      <c r="D32" s="5" t="s">
        <v>14</v>
      </c>
      <c r="E32" s="5" t="s">
        <v>15</v>
      </c>
    </row>
    <row r="33" ht="15.75" customHeight="1">
      <c r="A33" s="3" t="s">
        <v>72</v>
      </c>
      <c r="B33" s="22">
        <v>4145.65</v>
      </c>
      <c r="C33" s="22">
        <v>4446.2</v>
      </c>
      <c r="D33" s="22">
        <v>6787.62</v>
      </c>
      <c r="E33" s="22">
        <v>7146.23</v>
      </c>
    </row>
    <row r="34" ht="15.75" customHeight="1">
      <c r="A34" s="3" t="s">
        <v>73</v>
      </c>
      <c r="B34" s="22">
        <v>1208.92</v>
      </c>
      <c r="C34" s="22">
        <v>1856.27</v>
      </c>
      <c r="D34" s="22">
        <v>1843.72</v>
      </c>
      <c r="E34" s="22">
        <v>2018.77</v>
      </c>
    </row>
    <row r="35" ht="15.75" customHeight="1">
      <c r="A35" s="3" t="s">
        <v>74</v>
      </c>
      <c r="B35" s="22">
        <v>1019.59</v>
      </c>
      <c r="C35" s="22">
        <v>2698.37</v>
      </c>
      <c r="D35" s="22">
        <v>1254.49</v>
      </c>
      <c r="E35" s="22">
        <v>1848.67</v>
      </c>
    </row>
    <row r="36" ht="15.75" customHeight="1">
      <c r="A36" s="3" t="s">
        <v>76</v>
      </c>
      <c r="B36" s="22">
        <v>228.48</v>
      </c>
      <c r="C36" s="22">
        <v>419.19</v>
      </c>
      <c r="D36" s="22">
        <v>219.58</v>
      </c>
      <c r="E36" s="22">
        <v>219.08</v>
      </c>
    </row>
    <row r="37" ht="15.75" customHeight="1">
      <c r="A37" s="3" t="s">
        <v>77</v>
      </c>
      <c r="B37" s="22">
        <v>187.41</v>
      </c>
      <c r="C37" s="22">
        <v>424.96</v>
      </c>
      <c r="D37" s="22">
        <v>369.18</v>
      </c>
      <c r="E37" s="22">
        <v>256.2</v>
      </c>
    </row>
    <row r="38" ht="15.75" customHeight="1">
      <c r="A38" s="3" t="s">
        <v>78</v>
      </c>
      <c r="B38" s="22">
        <v>781.73</v>
      </c>
      <c r="C38" s="22">
        <v>583.13</v>
      </c>
      <c r="D38" s="22">
        <v>608.0</v>
      </c>
      <c r="E38" s="22">
        <v>656.09</v>
      </c>
    </row>
    <row r="39" ht="15.75" customHeight="1">
      <c r="A39" s="3" t="s">
        <v>80</v>
      </c>
      <c r="B39" s="22">
        <v>782.98</v>
      </c>
      <c r="C39" s="22">
        <v>801.38</v>
      </c>
      <c r="D39" s="22">
        <v>871.79</v>
      </c>
      <c r="E39" s="22">
        <v>119.82</v>
      </c>
    </row>
    <row r="40" ht="15.75" customHeight="1">
      <c r="A40" s="3" t="s">
        <v>81</v>
      </c>
      <c r="B40" s="22">
        <v>2.17</v>
      </c>
      <c r="C40" s="22">
        <v>1.78</v>
      </c>
      <c r="D40" s="22">
        <v>8.71</v>
      </c>
      <c r="E40" s="22">
        <v>5.36</v>
      </c>
    </row>
    <row r="41" ht="15.75" customHeight="1">
      <c r="A41" s="3" t="s">
        <v>82</v>
      </c>
      <c r="B41" s="22">
        <v>363.18</v>
      </c>
      <c r="C41" s="22">
        <v>606.51</v>
      </c>
      <c r="D41" s="22">
        <v>877.84</v>
      </c>
      <c r="E41" s="22">
        <v>1539.36</v>
      </c>
    </row>
    <row r="42" ht="15.75" customHeight="1">
      <c r="A42" s="3" t="s">
        <v>83</v>
      </c>
      <c r="B42" s="22">
        <v>18.67</v>
      </c>
      <c r="C42" s="22">
        <v>23.32</v>
      </c>
      <c r="D42" s="22">
        <v>16.12</v>
      </c>
      <c r="E42" s="22">
        <v>15.74</v>
      </c>
    </row>
    <row r="43" ht="15.75" customHeight="1">
      <c r="A43" s="3" t="s">
        <v>84</v>
      </c>
      <c r="B43" s="22">
        <v>189.52</v>
      </c>
      <c r="C43" s="22">
        <v>198.11</v>
      </c>
      <c r="D43" s="22">
        <v>221.62</v>
      </c>
      <c r="E43" s="22">
        <v>248.62</v>
      </c>
    </row>
    <row r="44" ht="15.75" customHeight="1">
      <c r="A44" s="3" t="s">
        <v>85</v>
      </c>
      <c r="B44" s="22">
        <v>334.54</v>
      </c>
      <c r="C44" s="22">
        <v>327.81</v>
      </c>
      <c r="D44" s="22">
        <v>301.02</v>
      </c>
      <c r="E44" s="22">
        <v>275.91</v>
      </c>
    </row>
    <row r="45" ht="15.75" customHeight="1">
      <c r="A45" s="8" t="s">
        <v>86</v>
      </c>
      <c r="B45" s="23">
        <f t="shared" ref="B45:E45" si="9">SUM(B33:B44)</f>
        <v>9262.84</v>
      </c>
      <c r="C45" s="23">
        <f t="shared" si="9"/>
        <v>12387.03</v>
      </c>
      <c r="D45" s="23">
        <f t="shared" si="9"/>
        <v>13379.69</v>
      </c>
      <c r="E45" s="23">
        <f t="shared" si="9"/>
        <v>14349.85</v>
      </c>
    </row>
    <row r="46" ht="15.75" customHeight="1">
      <c r="A46" s="3" t="s">
        <v>88</v>
      </c>
      <c r="B46" s="22">
        <v>6210.64</v>
      </c>
      <c r="C46" s="22">
        <v>5923.41</v>
      </c>
      <c r="D46" s="22">
        <v>6719.27</v>
      </c>
      <c r="E46" s="22">
        <v>5743.69</v>
      </c>
    </row>
    <row r="47" ht="15.75" customHeight="1">
      <c r="A47" s="3" t="s">
        <v>89</v>
      </c>
      <c r="B47" s="22">
        <v>2697.0</v>
      </c>
      <c r="C47" s="22">
        <v>3203.41</v>
      </c>
      <c r="D47" s="22">
        <v>3244.96</v>
      </c>
      <c r="E47" s="22">
        <v>6285.83</v>
      </c>
    </row>
    <row r="48" ht="15.75" customHeight="1">
      <c r="A48" s="3" t="s">
        <v>90</v>
      </c>
      <c r="B48" s="22">
        <v>4636.94</v>
      </c>
      <c r="C48" s="22">
        <v>4889.05</v>
      </c>
      <c r="D48" s="22">
        <v>4313.65</v>
      </c>
      <c r="E48" s="22">
        <v>4461.8</v>
      </c>
    </row>
    <row r="49" ht="15.75" customHeight="1">
      <c r="A49" s="3" t="s">
        <v>91</v>
      </c>
      <c r="B49" s="22">
        <v>523.1</v>
      </c>
      <c r="C49" s="22">
        <v>829.34</v>
      </c>
      <c r="D49" s="22">
        <v>445.28</v>
      </c>
      <c r="E49" s="22">
        <v>672.83</v>
      </c>
    </row>
    <row r="50" ht="15.75" customHeight="1">
      <c r="A50" s="3" t="s">
        <v>92</v>
      </c>
      <c r="B50" s="22">
        <v>320.72</v>
      </c>
      <c r="C50" s="22">
        <v>254.67</v>
      </c>
      <c r="D50" s="22">
        <v>336.7</v>
      </c>
      <c r="E50" s="22">
        <v>400.85</v>
      </c>
    </row>
    <row r="51" ht="15.75" customHeight="1">
      <c r="A51" s="3" t="s">
        <v>93</v>
      </c>
      <c r="B51" s="22">
        <v>1592.78</v>
      </c>
      <c r="C51" s="22">
        <v>1651.35</v>
      </c>
      <c r="D51" s="22">
        <v>1158.11</v>
      </c>
      <c r="E51" s="22">
        <v>1823.13</v>
      </c>
    </row>
    <row r="52" ht="15.75" customHeight="1">
      <c r="A52" s="3" t="s">
        <v>95</v>
      </c>
      <c r="B52" s="22">
        <v>553.98</v>
      </c>
      <c r="C52" s="22">
        <v>785.83</v>
      </c>
      <c r="D52" s="22">
        <v>773.71</v>
      </c>
      <c r="E52" s="22">
        <v>796.51</v>
      </c>
    </row>
    <row r="53" ht="15.75" customHeight="1">
      <c r="A53" s="8" t="s">
        <v>96</v>
      </c>
      <c r="B53" s="23">
        <f t="shared" ref="B53:E53" si="10">SUM(B46:B52)</f>
        <v>16535.16</v>
      </c>
      <c r="C53" s="23">
        <f t="shared" si="10"/>
        <v>17537.06</v>
      </c>
      <c r="D53" s="23">
        <f t="shared" si="10"/>
        <v>16991.68</v>
      </c>
      <c r="E53" s="23">
        <f t="shared" si="10"/>
        <v>20184.64</v>
      </c>
    </row>
    <row r="54" ht="15.75" customHeight="1">
      <c r="A54" s="8" t="s">
        <v>98</v>
      </c>
      <c r="B54" s="23">
        <f t="shared" ref="B54:E54" si="11">B45+B53</f>
        <v>25798</v>
      </c>
      <c r="C54" s="23">
        <f t="shared" si="11"/>
        <v>29924.09</v>
      </c>
      <c r="D54" s="23">
        <f t="shared" si="11"/>
        <v>30371.37</v>
      </c>
      <c r="E54" s="23">
        <f t="shared" si="11"/>
        <v>34534.49</v>
      </c>
    </row>
    <row r="55" ht="15.75" customHeight="1">
      <c r="A55" s="3" t="s">
        <v>99</v>
      </c>
      <c r="B55" s="22">
        <v>95.92</v>
      </c>
      <c r="C55" s="22">
        <v>95.92</v>
      </c>
      <c r="D55" s="22">
        <v>95.92</v>
      </c>
      <c r="E55" s="22">
        <v>95.92</v>
      </c>
    </row>
    <row r="56" ht="15.75" customHeight="1">
      <c r="A56" s="3" t="s">
        <v>100</v>
      </c>
      <c r="B56" s="22">
        <v>15896.31</v>
      </c>
      <c r="C56" s="22">
        <v>18632.38</v>
      </c>
      <c r="D56" s="22">
        <v>19303.89</v>
      </c>
      <c r="E56" s="22">
        <v>21275.67</v>
      </c>
    </row>
    <row r="57" ht="15.75" customHeight="1">
      <c r="A57" s="3" t="s">
        <v>101</v>
      </c>
      <c r="B57" s="22">
        <v>453.66</v>
      </c>
      <c r="C57" s="22">
        <v>695.38</v>
      </c>
      <c r="D57" s="22">
        <v>659.24</v>
      </c>
      <c r="E57" s="22">
        <v>643.39</v>
      </c>
    </row>
    <row r="58" ht="15.75" customHeight="1">
      <c r="A58" s="8" t="s">
        <v>102</v>
      </c>
      <c r="B58" s="23">
        <f t="shared" ref="B58:E58" si="12">SUM(B55:B57)</f>
        <v>16445.89</v>
      </c>
      <c r="C58" s="23">
        <f t="shared" si="12"/>
        <v>19423.68</v>
      </c>
      <c r="D58" s="23">
        <f t="shared" si="12"/>
        <v>20059.05</v>
      </c>
      <c r="E58" s="23">
        <f t="shared" si="12"/>
        <v>22014.98</v>
      </c>
    </row>
    <row r="59" ht="15.75" customHeight="1">
      <c r="A59" s="3" t="s">
        <v>103</v>
      </c>
      <c r="B59" s="22">
        <v>76.15</v>
      </c>
      <c r="C59" s="22">
        <v>54.38</v>
      </c>
      <c r="D59" s="22">
        <v>259.62</v>
      </c>
      <c r="E59" s="22">
        <v>1247.17</v>
      </c>
    </row>
    <row r="60" ht="15.75" customHeight="1">
      <c r="A60" s="3" t="s">
        <v>104</v>
      </c>
      <c r="B60" s="22">
        <v>728.94</v>
      </c>
      <c r="C60" s="22">
        <v>1095.29</v>
      </c>
      <c r="D60" s="22">
        <v>1123.3</v>
      </c>
      <c r="E60" s="22">
        <v>1306.94</v>
      </c>
    </row>
    <row r="61" ht="15.75" customHeight="1">
      <c r="A61" s="3" t="s">
        <v>105</v>
      </c>
      <c r="B61" s="22">
        <v>46.38</v>
      </c>
      <c r="C61" s="22">
        <v>240.58</v>
      </c>
      <c r="D61" s="22">
        <v>79.93</v>
      </c>
      <c r="E61" s="22">
        <v>113.66</v>
      </c>
    </row>
    <row r="62" ht="15.75" customHeight="1">
      <c r="A62" s="3" t="s">
        <v>106</v>
      </c>
      <c r="B62" s="22">
        <v>230.7</v>
      </c>
      <c r="C62" s="22">
        <v>222.56</v>
      </c>
      <c r="D62" s="22">
        <v>257.78</v>
      </c>
      <c r="E62" s="22">
        <v>273.8</v>
      </c>
    </row>
    <row r="63" ht="15.75" customHeight="1">
      <c r="A63" s="3" t="s">
        <v>107</v>
      </c>
      <c r="B63" s="22">
        <v>334.84</v>
      </c>
      <c r="C63" s="22">
        <v>352.17</v>
      </c>
      <c r="D63" s="22">
        <v>404.91</v>
      </c>
      <c r="E63" s="22">
        <v>403.26</v>
      </c>
    </row>
    <row r="64" ht="15.75" customHeight="1">
      <c r="A64" s="3" t="s">
        <v>108</v>
      </c>
      <c r="B64" s="22">
        <v>39.17</v>
      </c>
      <c r="C64" s="22">
        <v>34.47</v>
      </c>
      <c r="D64" s="22">
        <v>45.55</v>
      </c>
      <c r="E64" s="22">
        <v>37.65</v>
      </c>
    </row>
    <row r="65" ht="15.75" customHeight="1">
      <c r="A65" s="8" t="s">
        <v>109</v>
      </c>
      <c r="B65" s="23">
        <f t="shared" ref="B65:E65" si="13">SUM(B59:B64)</f>
        <v>1456.18</v>
      </c>
      <c r="C65" s="23">
        <f t="shared" si="13"/>
        <v>1999.45</v>
      </c>
      <c r="D65" s="23">
        <f t="shared" si="13"/>
        <v>2171.09</v>
      </c>
      <c r="E65" s="23">
        <f t="shared" si="13"/>
        <v>3382.48</v>
      </c>
    </row>
    <row r="66" ht="15.75" customHeight="1">
      <c r="A66" s="3" t="s">
        <v>110</v>
      </c>
      <c r="B66" s="22">
        <v>896.06</v>
      </c>
      <c r="C66" s="22">
        <v>1052.76</v>
      </c>
      <c r="D66" s="22">
        <v>604.13</v>
      </c>
      <c r="E66" s="22">
        <v>1046.09</v>
      </c>
    </row>
    <row r="67" ht="15.75" customHeight="1">
      <c r="A67" s="3" t="s">
        <v>111</v>
      </c>
      <c r="B67" s="22">
        <v>231.47</v>
      </c>
      <c r="C67" s="22">
        <v>271.95</v>
      </c>
      <c r="D67" s="22">
        <v>303.24</v>
      </c>
      <c r="E67" s="22">
        <v>328.73</v>
      </c>
    </row>
    <row r="68" ht="15.75" customHeight="1">
      <c r="A68" s="3" t="s">
        <v>112</v>
      </c>
      <c r="B68" s="22">
        <v>143.88</v>
      </c>
      <c r="C68" s="22">
        <v>250.27</v>
      </c>
      <c r="D68" s="22">
        <v>208.58</v>
      </c>
      <c r="E68" s="22">
        <v>258.56</v>
      </c>
    </row>
    <row r="69" ht="15.75" customHeight="1">
      <c r="A69" s="3" t="s">
        <v>113</v>
      </c>
      <c r="B69" s="22">
        <v>3491.56</v>
      </c>
      <c r="C69" s="22">
        <v>3581.07</v>
      </c>
      <c r="D69" s="22">
        <v>3639.42</v>
      </c>
      <c r="E69" s="22">
        <v>3604.48</v>
      </c>
    </row>
    <row r="70" ht="15.75" customHeight="1">
      <c r="A70" s="3" t="s">
        <v>114</v>
      </c>
      <c r="B70" s="22">
        <v>2436.02</v>
      </c>
      <c r="C70" s="22">
        <v>2675.44</v>
      </c>
      <c r="D70" s="22">
        <v>2742.04</v>
      </c>
      <c r="E70" s="22">
        <v>3044.72</v>
      </c>
    </row>
    <row r="71" ht="15.75" customHeight="1">
      <c r="A71" s="3" t="s">
        <v>115</v>
      </c>
      <c r="B71" s="22">
        <v>459.04</v>
      </c>
      <c r="C71" s="22">
        <v>484.48</v>
      </c>
      <c r="D71" s="22">
        <v>450.58</v>
      </c>
      <c r="E71" s="22">
        <v>457.86</v>
      </c>
    </row>
    <row r="72" ht="15.75" customHeight="1">
      <c r="A72" s="3" t="s">
        <v>116</v>
      </c>
      <c r="B72" s="22">
        <v>74.21</v>
      </c>
      <c r="C72" s="22">
        <v>62.48</v>
      </c>
      <c r="D72" s="22">
        <v>67.15</v>
      </c>
      <c r="E72" s="22">
        <v>216.58</v>
      </c>
    </row>
    <row r="73" ht="15.75" customHeight="1">
      <c r="A73" s="3" t="s">
        <v>117</v>
      </c>
      <c r="B73" s="22">
        <v>163.69</v>
      </c>
      <c r="C73" s="22">
        <v>122.51</v>
      </c>
      <c r="D73" s="22">
        <v>126.09</v>
      </c>
      <c r="E73" s="22">
        <v>180.01</v>
      </c>
    </row>
    <row r="74" ht="15.75" customHeight="1">
      <c r="A74" s="8" t="s">
        <v>118</v>
      </c>
      <c r="B74" s="23">
        <f t="shared" ref="B74:E74" si="14">SUM(B66:B73)</f>
        <v>7895.93</v>
      </c>
      <c r="C74" s="23">
        <f t="shared" si="14"/>
        <v>8500.96</v>
      </c>
      <c r="D74" s="23">
        <f t="shared" si="14"/>
        <v>8141.23</v>
      </c>
      <c r="E74" s="23">
        <f t="shared" si="14"/>
        <v>9137.03</v>
      </c>
    </row>
    <row r="75" ht="15.75" customHeight="1">
      <c r="A75" s="8" t="s">
        <v>119</v>
      </c>
      <c r="B75" s="23">
        <f t="shared" ref="B75:E75" si="15">B58+B65+B74</f>
        <v>25798</v>
      </c>
      <c r="C75" s="23">
        <f t="shared" si="15"/>
        <v>29924.09</v>
      </c>
      <c r="D75" s="23">
        <f t="shared" si="15"/>
        <v>30371.37</v>
      </c>
      <c r="E75" s="23">
        <f t="shared" si="15"/>
        <v>34534.49</v>
      </c>
    </row>
    <row r="76" ht="15.75" customHeight="1">
      <c r="A76" s="3"/>
      <c r="B76" s="3"/>
      <c r="C76" s="3"/>
      <c r="D76" s="3"/>
      <c r="E76" s="3"/>
    </row>
    <row r="77" ht="21.75" customHeight="1">
      <c r="A77" s="9" t="s">
        <v>121</v>
      </c>
      <c r="B77" s="11"/>
      <c r="C77" s="11"/>
      <c r="D77" s="11"/>
      <c r="E77" s="11"/>
    </row>
    <row r="78" ht="15.75" customHeight="1">
      <c r="A78" s="5" t="s">
        <v>4</v>
      </c>
      <c r="B78" s="5" t="s">
        <v>27</v>
      </c>
      <c r="C78" s="5" t="s">
        <v>13</v>
      </c>
      <c r="D78" s="5" t="s">
        <v>14</v>
      </c>
      <c r="E78" s="5" t="s">
        <v>15</v>
      </c>
    </row>
    <row r="79" ht="15.75" customHeight="1">
      <c r="A79" s="3" t="s">
        <v>123</v>
      </c>
      <c r="B79" s="3"/>
      <c r="C79" s="3"/>
      <c r="D79" s="3"/>
      <c r="E79" s="3"/>
    </row>
    <row r="80" ht="15.75" customHeight="1">
      <c r="A80" s="3" t="s">
        <v>63</v>
      </c>
      <c r="B80" s="22">
        <v>5688.83</v>
      </c>
      <c r="C80" s="22">
        <v>7347.77</v>
      </c>
      <c r="D80" s="22">
        <v>5103.07</v>
      </c>
      <c r="E80" s="22">
        <v>6003.44</v>
      </c>
    </row>
    <row r="81" ht="15.75" customHeight="1">
      <c r="A81" s="3" t="s">
        <v>56</v>
      </c>
      <c r="B81" s="22">
        <v>858.02</v>
      </c>
      <c r="C81" s="22">
        <v>853.0</v>
      </c>
      <c r="D81" s="22">
        <v>1026.34</v>
      </c>
      <c r="E81" s="22">
        <v>1228.85</v>
      </c>
    </row>
    <row r="82" ht="15.75" customHeight="1">
      <c r="A82" s="3" t="s">
        <v>124</v>
      </c>
      <c r="B82" s="22">
        <v>-120.8</v>
      </c>
      <c r="C82" s="22">
        <v>-169.93</v>
      </c>
      <c r="D82" s="22">
        <v>-179.84</v>
      </c>
      <c r="E82" s="22">
        <v>-180.93</v>
      </c>
    </row>
    <row r="83" ht="15.75" customHeight="1">
      <c r="A83" s="3" t="s">
        <v>125</v>
      </c>
      <c r="B83" s="22">
        <v>-13.48</v>
      </c>
      <c r="C83" s="22">
        <v>-20.16</v>
      </c>
      <c r="D83" s="22">
        <v>-20.64</v>
      </c>
      <c r="E83" s="22">
        <v>-2.13</v>
      </c>
    </row>
    <row r="84" ht="15.75" customHeight="1">
      <c r="A84" s="3" t="s">
        <v>55</v>
      </c>
      <c r="B84" s="22">
        <v>144.45</v>
      </c>
      <c r="C84" s="22">
        <v>205.17</v>
      </c>
      <c r="D84" s="22">
        <v>227.02</v>
      </c>
      <c r="E84" s="22">
        <v>195.41</v>
      </c>
    </row>
    <row r="85" ht="15.75" customHeight="1">
      <c r="A85" s="3" t="s">
        <v>59</v>
      </c>
      <c r="B85" s="22">
        <v>-93.85</v>
      </c>
      <c r="C85" s="22">
        <v>-133.0</v>
      </c>
      <c r="D85" s="22">
        <v>-140.71</v>
      </c>
      <c r="E85" s="22">
        <v>-165.59</v>
      </c>
    </row>
    <row r="86" ht="15.75" customHeight="1">
      <c r="A86" s="3" t="s">
        <v>126</v>
      </c>
      <c r="B86" s="22">
        <v>-3.35</v>
      </c>
      <c r="C86" s="22">
        <v>-154.25</v>
      </c>
      <c r="D86" s="22">
        <v>374.42</v>
      </c>
      <c r="E86" s="22">
        <v>107.23</v>
      </c>
    </row>
    <row r="87" ht="15.75" customHeight="1">
      <c r="A87" s="3" t="s">
        <v>127</v>
      </c>
      <c r="B87" s="22">
        <f t="shared" ref="B87:E87" si="16">sum(B80:B86)</f>
        <v>6459.82</v>
      </c>
      <c r="C87" s="22">
        <f t="shared" si="16"/>
        <v>7928.6</v>
      </c>
      <c r="D87" s="22">
        <f t="shared" si="16"/>
        <v>6389.66</v>
      </c>
      <c r="E87" s="22">
        <f t="shared" si="16"/>
        <v>7186.28</v>
      </c>
    </row>
    <row r="88" ht="15.75" customHeight="1">
      <c r="A88" s="3" t="s">
        <v>129</v>
      </c>
      <c r="B88" s="22">
        <v>-772.11</v>
      </c>
      <c r="C88" s="22">
        <v>10.05</v>
      </c>
      <c r="D88" s="22">
        <v>-570.18</v>
      </c>
      <c r="E88" s="22">
        <v>1475.72</v>
      </c>
    </row>
    <row r="89" ht="15.75" customHeight="1">
      <c r="A89" s="3" t="s">
        <v>131</v>
      </c>
      <c r="B89" s="22">
        <f t="shared" ref="B89:E89" si="17">B87+B88</f>
        <v>5687.71</v>
      </c>
      <c r="C89" s="22">
        <f t="shared" si="17"/>
        <v>7938.65</v>
      </c>
      <c r="D89" s="22">
        <f t="shared" si="17"/>
        <v>5819.48</v>
      </c>
      <c r="E89" s="22">
        <f t="shared" si="17"/>
        <v>8662</v>
      </c>
    </row>
    <row r="90" ht="15.75" customHeight="1">
      <c r="A90" s="3" t="s">
        <v>132</v>
      </c>
      <c r="B90" s="22">
        <v>-1494.28</v>
      </c>
      <c r="C90" s="22">
        <v>-1835.05</v>
      </c>
      <c r="D90" s="22">
        <v>-1395.52</v>
      </c>
      <c r="E90" s="22">
        <v>-1573.82</v>
      </c>
    </row>
    <row r="91" ht="15.75" customHeight="1">
      <c r="A91" s="8" t="s">
        <v>133</v>
      </c>
      <c r="B91" s="23">
        <f t="shared" ref="B91:E91" si="18">B89+B90</f>
        <v>4193.43</v>
      </c>
      <c r="C91" s="23">
        <f t="shared" si="18"/>
        <v>6103.6</v>
      </c>
      <c r="D91" s="23">
        <f t="shared" si="18"/>
        <v>4423.96</v>
      </c>
      <c r="E91" s="23">
        <f t="shared" si="18"/>
        <v>7088.18</v>
      </c>
    </row>
    <row r="92" ht="15.75" customHeight="1">
      <c r="A92" s="3" t="s">
        <v>134</v>
      </c>
      <c r="B92" s="22"/>
      <c r="C92" s="22"/>
      <c r="D92" s="22"/>
      <c r="E92" s="22"/>
    </row>
    <row r="93" ht="15.75" customHeight="1">
      <c r="A93" s="3" t="s">
        <v>136</v>
      </c>
      <c r="B93" s="22">
        <v>-1273.37</v>
      </c>
      <c r="C93" s="22">
        <v>-2199.01</v>
      </c>
      <c r="D93" s="22">
        <v>-1805.32</v>
      </c>
      <c r="E93" s="22">
        <v>-1467.02</v>
      </c>
    </row>
    <row r="94" ht="15.75" customHeight="1">
      <c r="A94" s="3" t="s">
        <v>137</v>
      </c>
      <c r="B94" s="22">
        <v>25.92</v>
      </c>
      <c r="C94" s="22">
        <v>5.13</v>
      </c>
      <c r="D94" s="22">
        <v>10.1</v>
      </c>
      <c r="E94" s="22">
        <v>3.2</v>
      </c>
    </row>
    <row r="95" ht="15.75" customHeight="1">
      <c r="A95" s="3" t="s">
        <v>138</v>
      </c>
      <c r="B95" s="22">
        <v>-172.24</v>
      </c>
      <c r="C95" s="22">
        <v>-297.07</v>
      </c>
      <c r="D95" s="22">
        <v>-24.75</v>
      </c>
      <c r="E95" s="22">
        <v>-20.3</v>
      </c>
    </row>
    <row r="96" ht="15.75" customHeight="1">
      <c r="A96" s="3" t="s">
        <v>139</v>
      </c>
      <c r="B96" s="22">
        <v>1.64</v>
      </c>
      <c r="C96" s="22">
        <v>-290.71</v>
      </c>
      <c r="D96" s="22">
        <v>654.82</v>
      </c>
      <c r="E96" s="22">
        <v>-120.77</v>
      </c>
    </row>
    <row r="97" ht="15.75" customHeight="1">
      <c r="A97" s="3" t="s">
        <v>140</v>
      </c>
      <c r="B97" s="22">
        <v>143.41</v>
      </c>
      <c r="C97" s="22">
        <v>264.03</v>
      </c>
      <c r="D97" s="22">
        <v>291.03</v>
      </c>
      <c r="E97" s="22">
        <v>270.82</v>
      </c>
    </row>
    <row r="98" ht="15.75" customHeight="1">
      <c r="A98" s="8" t="s">
        <v>141</v>
      </c>
      <c r="B98" s="23">
        <f t="shared" ref="B98:E98" si="19">sum(B93:B97)</f>
        <v>-1274.64</v>
      </c>
      <c r="C98" s="23">
        <f t="shared" si="19"/>
        <v>-2517.63</v>
      </c>
      <c r="D98" s="23">
        <f t="shared" si="19"/>
        <v>-874.12</v>
      </c>
      <c r="E98" s="23">
        <f t="shared" si="19"/>
        <v>-1334.07</v>
      </c>
    </row>
    <row r="99" ht="15.75" customHeight="1">
      <c r="A99" s="3" t="s">
        <v>144</v>
      </c>
      <c r="B99" s="22"/>
      <c r="C99" s="22"/>
      <c r="D99" s="22"/>
      <c r="E99" s="22"/>
    </row>
    <row r="100" ht="15.75" customHeight="1">
      <c r="A100" s="8" t="s">
        <v>145</v>
      </c>
      <c r="B100" s="23">
        <v>-2140.05</v>
      </c>
      <c r="C100" s="23">
        <v>-2982.5</v>
      </c>
      <c r="D100" s="23">
        <v>-3752.58</v>
      </c>
      <c r="E100" s="23">
        <v>-2376.51</v>
      </c>
    </row>
    <row r="101" ht="15.75" customHeight="1">
      <c r="A101" s="3" t="s">
        <v>146</v>
      </c>
      <c r="B101" s="22"/>
      <c r="C101" s="22"/>
      <c r="D101" s="22"/>
      <c r="E101" s="22"/>
    </row>
    <row r="102" ht="15.75" customHeight="1">
      <c r="A102" s="8" t="s">
        <v>147</v>
      </c>
      <c r="B102" s="23">
        <f t="shared" ref="B102:E102" si="20">B91+B98+B100</f>
        <v>778.74</v>
      </c>
      <c r="C102" s="23">
        <f t="shared" si="20"/>
        <v>603.47</v>
      </c>
      <c r="D102" s="23">
        <f t="shared" si="20"/>
        <v>-202.74</v>
      </c>
      <c r="E102" s="23">
        <f t="shared" si="20"/>
        <v>3377.6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4576482734178776" footer="0.0" header="0.0" left="0.5491779281014532" right="0.0" top="0.457648273417877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4" width="15.0"/>
    <col customWidth="1" min="5" max="26" width="8.71"/>
  </cols>
  <sheetData>
    <row r="1">
      <c r="A1" s="1" t="s">
        <v>1</v>
      </c>
      <c r="B1" s="3"/>
      <c r="C1" s="3"/>
      <c r="D1" s="3"/>
    </row>
    <row r="2">
      <c r="A2" s="3"/>
      <c r="B2" s="3"/>
      <c r="C2" s="3"/>
      <c r="D2" s="3"/>
    </row>
    <row r="3">
      <c r="A3" s="5" t="s">
        <v>4</v>
      </c>
      <c r="B3" s="5" t="s">
        <v>13</v>
      </c>
      <c r="C3" s="5" t="s">
        <v>14</v>
      </c>
      <c r="D3" s="5" t="s">
        <v>15</v>
      </c>
    </row>
    <row r="4">
      <c r="A4" s="3" t="s">
        <v>11</v>
      </c>
      <c r="B4" s="7">
        <f>'Historical Financials'!C9/'Historical Financials'!B9-1</f>
        <v>0.02917312653</v>
      </c>
      <c r="C4" s="7">
        <f>'Historical Financials'!D9/'Historical Financials'!C9-1</f>
        <v>-0.04477030816</v>
      </c>
      <c r="D4" s="7">
        <f>'Historical Financials'!E9/'Historical Financials'!D9-1</f>
        <v>0.04948796099</v>
      </c>
    </row>
    <row r="5">
      <c r="A5" s="3" t="s">
        <v>23</v>
      </c>
      <c r="B5" s="7">
        <f>'Historical Financials'!C18/'Historical Financials'!C9</f>
        <v>0.2330751636</v>
      </c>
      <c r="C5" s="7">
        <f>'Historical Financials'!D18/'Historical Financials'!D9</f>
        <v>0.1940333195</v>
      </c>
      <c r="D5" s="7">
        <f>'Historical Financials'!E18/'Historical Financials'!E9</f>
        <v>0.2085155103</v>
      </c>
    </row>
    <row r="6">
      <c r="A6" s="3" t="s">
        <v>24</v>
      </c>
      <c r="B6" s="7">
        <f>('Historical Financials'!C18-'Historical Financials'!C20)/'Historical Financials'!C9</f>
        <v>0.209043427</v>
      </c>
      <c r="C6" s="7">
        <f>('Historical Financials'!D18-'Historical Financials'!D20)/'Historical Financials'!D9</f>
        <v>0.1637628216</v>
      </c>
      <c r="D6" s="7">
        <f>('Historical Financials'!E18-'Historical Financials'!E20)/'Historical Financials'!E9</f>
        <v>0.1739812846</v>
      </c>
    </row>
    <row r="7">
      <c r="A7" s="3" t="s">
        <v>34</v>
      </c>
      <c r="B7" s="7">
        <f>'Historical Financials'!C27/'Historical Financials'!C9</f>
        <v>0.156577892</v>
      </c>
      <c r="C7" s="7">
        <f>'Historical Financials'!D27/'Historical Financials'!D9</f>
        <v>0.1094128348</v>
      </c>
      <c r="D7" s="7">
        <f>'Historical Financials'!E27/'Historical Financials'!E9</f>
        <v>0.1235034513</v>
      </c>
    </row>
    <row r="8">
      <c r="A8" s="3" t="s">
        <v>40</v>
      </c>
      <c r="B8" s="7">
        <f>'Historical Financials'!C27/AVERAGE('Historical Financials'!B58,'Historical Financials'!C58)</f>
        <v>0.3098832799</v>
      </c>
      <c r="C8" s="7">
        <f>'Historical Financials'!D27/AVERAGE('Historical Financials'!C58,'Historical Financials'!D58)</f>
        <v>0.1879155773</v>
      </c>
      <c r="D8" s="7">
        <f>'Historical Financials'!E27/AVERAGE('Historical Financials'!D58,'Historical Financials'!E58)</f>
        <v>0.2089027364</v>
      </c>
    </row>
    <row r="9">
      <c r="A9" s="3" t="s">
        <v>54</v>
      </c>
      <c r="B9" s="7">
        <f>7419.94/AVERAGE(17902.07,21423.13)</f>
        <v>0.3773631158</v>
      </c>
      <c r="C9" s="7">
        <f>5552.48/AVERAGE(21423.13,22230.14)</f>
        <v>0.2543901064</v>
      </c>
      <c r="D9" s="7">
        <f>6190.87/AVERAGE(22230.14,25397.46)</f>
        <v>0.2599698494</v>
      </c>
    </row>
    <row r="10">
      <c r="A10" s="3" t="s">
        <v>60</v>
      </c>
      <c r="B10" s="17">
        <f>('Historical Financials'!C59+'Historical Financials'!C66)/'Historical Financials'!C58</f>
        <v>0.05699949752</v>
      </c>
      <c r="C10" s="17">
        <f>('Historical Financials'!D59+'Historical Financials'!D66)/'Historical Financials'!D58</f>
        <v>0.04306036427</v>
      </c>
      <c r="D10" s="17">
        <f>('Historical Financials'!E59+'Historical Financials'!E66)/'Historical Financials'!E58</f>
        <v>0.1041681619</v>
      </c>
    </row>
    <row r="11">
      <c r="A11" s="3" t="s">
        <v>67</v>
      </c>
      <c r="B11" s="17">
        <f>'Historical Financials'!C53/'Historical Financials'!C74</f>
        <v>2.062950537</v>
      </c>
      <c r="C11" s="17">
        <f>'Historical Financials'!D53/'Historical Financials'!D74</f>
        <v>2.087114601</v>
      </c>
      <c r="D11" s="17">
        <f>'Historical Financials'!E53/'Historical Financials'!E74</f>
        <v>2.209102958</v>
      </c>
    </row>
    <row r="12">
      <c r="A12" s="3" t="s">
        <v>71</v>
      </c>
      <c r="B12" s="17">
        <f>'Historical Financials'!C9/'Historical Financials'!C54</f>
        <v>1.186159044</v>
      </c>
      <c r="C12" s="17">
        <f>'Historical Financials'!D9/'Historical Financials'!D54</f>
        <v>1.116367816</v>
      </c>
      <c r="D12" s="17">
        <f>'Historical Financials'!E9/'Historical Financials'!E54</f>
        <v>1.030376878</v>
      </c>
    </row>
    <row r="13">
      <c r="A13" s="3" t="s">
        <v>79</v>
      </c>
      <c r="B13" s="17">
        <f>('Historical Financials'!C18-'Historical Financials'!C20)/'Historical Financials'!C19</f>
        <v>36.16483891</v>
      </c>
      <c r="C13" s="17">
        <f>('Historical Financials'!D18-'Historical Financials'!D20)/'Historical Financials'!D19</f>
        <v>24.45810942</v>
      </c>
      <c r="D13" s="17">
        <f>('Historical Financials'!E18-'Historical Financials'!E20)/'Historical Financials'!E19</f>
        <v>31.68143903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3.071032026895515" right="0.75" top="2.17837078651685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6" width="15.0"/>
    <col customWidth="1" min="7" max="26" width="8.71"/>
  </cols>
  <sheetData>
    <row r="1">
      <c r="A1" s="1" t="s">
        <v>0</v>
      </c>
      <c r="B1" s="3"/>
      <c r="C1" s="3"/>
      <c r="D1" s="3"/>
      <c r="E1" s="3"/>
      <c r="F1" s="3"/>
    </row>
    <row r="2">
      <c r="A2" s="3"/>
      <c r="B2" s="3"/>
      <c r="C2" s="3"/>
      <c r="D2" s="3"/>
      <c r="E2" s="3"/>
      <c r="F2" s="3"/>
    </row>
    <row r="3">
      <c r="A3" s="5" t="s">
        <v>4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</row>
    <row r="4">
      <c r="A4" s="3" t="s">
        <v>11</v>
      </c>
      <c r="B4" s="7">
        <v>0.05</v>
      </c>
      <c r="C4" s="7">
        <v>0.05</v>
      </c>
      <c r="D4" s="7">
        <v>0.045</v>
      </c>
      <c r="E4" s="7">
        <v>0.04</v>
      </c>
      <c r="F4" s="7">
        <v>0.04</v>
      </c>
    </row>
    <row r="5">
      <c r="A5" s="3" t="s">
        <v>23</v>
      </c>
      <c r="B5" s="7">
        <v>0.21</v>
      </c>
      <c r="C5" s="7">
        <v>0.215</v>
      </c>
      <c r="D5" s="7">
        <v>0.22</v>
      </c>
      <c r="E5" s="7">
        <v>0.22</v>
      </c>
      <c r="F5" s="7">
        <v>0.22</v>
      </c>
    </row>
    <row r="6">
      <c r="A6" s="3" t="s">
        <v>25</v>
      </c>
      <c r="B6" s="7">
        <v>0.035</v>
      </c>
      <c r="C6" s="7">
        <v>0.035</v>
      </c>
      <c r="D6" s="7">
        <v>0.035</v>
      </c>
      <c r="E6" s="7">
        <v>0.035</v>
      </c>
      <c r="F6" s="7">
        <v>0.035</v>
      </c>
    </row>
    <row r="7">
      <c r="A7" s="3" t="s">
        <v>26</v>
      </c>
      <c r="B7" s="7">
        <v>0.25</v>
      </c>
      <c r="C7" s="7">
        <v>0.25</v>
      </c>
      <c r="D7" s="7">
        <v>0.25</v>
      </c>
      <c r="E7" s="7">
        <v>0.25</v>
      </c>
      <c r="F7" s="7">
        <v>0.25</v>
      </c>
    </row>
    <row r="8">
      <c r="A8" s="3" t="s">
        <v>28</v>
      </c>
      <c r="B8" s="7">
        <v>0.05</v>
      </c>
      <c r="C8" s="7">
        <v>0.05</v>
      </c>
      <c r="D8" s="7">
        <v>0.05</v>
      </c>
      <c r="E8" s="7">
        <v>0.05</v>
      </c>
      <c r="F8" s="7">
        <v>0.05</v>
      </c>
    </row>
    <row r="9">
      <c r="A9" s="3" t="s">
        <v>30</v>
      </c>
      <c r="B9" s="7">
        <v>0.09</v>
      </c>
      <c r="C9" s="7">
        <v>0.09</v>
      </c>
      <c r="D9" s="7">
        <v>0.09</v>
      </c>
      <c r="E9" s="7">
        <v>0.09</v>
      </c>
      <c r="F9" s="7">
        <v>0.09</v>
      </c>
    </row>
    <row r="10">
      <c r="A10" s="3" t="s">
        <v>31</v>
      </c>
      <c r="B10" s="7">
        <v>0.06</v>
      </c>
      <c r="C10" s="7">
        <v>0.06</v>
      </c>
      <c r="D10" s="7">
        <v>0.06</v>
      </c>
      <c r="E10" s="7">
        <v>0.06</v>
      </c>
      <c r="F10" s="7">
        <v>0.06</v>
      </c>
    </row>
    <row r="11">
      <c r="A11" s="3" t="s">
        <v>33</v>
      </c>
      <c r="B11" s="7">
        <v>0.04</v>
      </c>
      <c r="C11" s="7">
        <v>0.04</v>
      </c>
      <c r="D11" s="7">
        <v>0.04</v>
      </c>
      <c r="E11" s="7">
        <v>0.04</v>
      </c>
      <c r="F11" s="7">
        <v>0.04</v>
      </c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9" t="s">
        <v>37</v>
      </c>
      <c r="B14" s="11"/>
      <c r="C14" s="3"/>
      <c r="D14" s="3"/>
      <c r="E14" s="3"/>
      <c r="F14" s="3"/>
    </row>
    <row r="15">
      <c r="A15" s="5" t="s">
        <v>4</v>
      </c>
      <c r="B15" s="5" t="s">
        <v>38</v>
      </c>
      <c r="C15" s="3"/>
      <c r="D15" s="3"/>
      <c r="E15" s="3"/>
      <c r="F15" s="3"/>
    </row>
    <row r="16">
      <c r="A16" s="3" t="s">
        <v>39</v>
      </c>
      <c r="B16" s="7">
        <v>0.065</v>
      </c>
      <c r="C16" s="3"/>
      <c r="D16" s="3"/>
      <c r="E16" s="3"/>
      <c r="F16" s="3"/>
    </row>
    <row r="17">
      <c r="A17" s="3" t="s">
        <v>41</v>
      </c>
      <c r="B17" s="7">
        <v>0.06</v>
      </c>
      <c r="C17" s="3"/>
      <c r="D17" s="3"/>
      <c r="E17" s="3"/>
      <c r="F17" s="3"/>
    </row>
    <row r="18">
      <c r="A18" s="3" t="s">
        <v>43</v>
      </c>
      <c r="B18" s="17">
        <v>0.9</v>
      </c>
      <c r="C18" s="3"/>
      <c r="D18" s="3"/>
      <c r="E18" s="3"/>
      <c r="F18" s="3"/>
    </row>
    <row r="19">
      <c r="A19" s="3" t="s">
        <v>45</v>
      </c>
      <c r="B19" s="7">
        <v>0.07</v>
      </c>
      <c r="C19" s="3"/>
      <c r="D19" s="3"/>
      <c r="E19" s="3"/>
      <c r="F19" s="3"/>
    </row>
    <row r="20">
      <c r="A20" s="3" t="s">
        <v>47</v>
      </c>
      <c r="B20" s="7">
        <v>0.05</v>
      </c>
      <c r="C20" s="3"/>
      <c r="D20" s="3"/>
      <c r="E20" s="3"/>
      <c r="F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7" width="15.0"/>
    <col customWidth="1" min="8" max="26" width="8.71"/>
  </cols>
  <sheetData>
    <row r="1">
      <c r="A1" s="1" t="s">
        <v>3</v>
      </c>
      <c r="B1" s="3"/>
      <c r="C1" s="3"/>
      <c r="D1" s="3"/>
      <c r="E1" s="3"/>
      <c r="F1" s="3"/>
      <c r="G1" s="3"/>
    </row>
    <row r="2">
      <c r="A2" s="3"/>
      <c r="B2" s="3"/>
      <c r="C2" s="3"/>
      <c r="D2" s="3"/>
      <c r="E2" s="3"/>
      <c r="F2" s="3"/>
      <c r="G2" s="3"/>
    </row>
    <row r="3">
      <c r="A3" s="5" t="s">
        <v>4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</row>
    <row r="4">
      <c r="A4" s="8" t="s">
        <v>22</v>
      </c>
      <c r="B4" s="10">
        <f>'Historical Financials'!E9</f>
        <v>35583.54</v>
      </c>
      <c r="C4" s="10">
        <f>B4*(1+Assumptions!B4)</f>
        <v>37362.717</v>
      </c>
      <c r="D4" s="10">
        <f>C4*(1+Assumptions!C4)</f>
        <v>39230.85285</v>
      </c>
      <c r="E4" s="10">
        <f>D4*(1+Assumptions!D4)</f>
        <v>40996.24123</v>
      </c>
      <c r="F4" s="10">
        <f>E4*(1+Assumptions!E4)</f>
        <v>42636.09088</v>
      </c>
      <c r="G4" s="10">
        <f>F4*(1+Assumptions!F4)</f>
        <v>44341.53451</v>
      </c>
    </row>
    <row r="5">
      <c r="A5" s="3" t="s">
        <v>11</v>
      </c>
      <c r="B5" s="7">
        <f>'Financial Ratios'!D4</f>
        <v>0.04948796099</v>
      </c>
      <c r="C5" s="7">
        <f>Assumptions!B4</f>
        <v>0.05</v>
      </c>
      <c r="D5" s="7">
        <f>Assumptions!C4</f>
        <v>0.05</v>
      </c>
      <c r="E5" s="7">
        <f>Assumptions!D4</f>
        <v>0.045</v>
      </c>
      <c r="F5" s="7">
        <f>Assumptions!E4</f>
        <v>0.04</v>
      </c>
      <c r="G5" s="7">
        <f>Assumptions!F4</f>
        <v>0.04</v>
      </c>
    </row>
    <row r="6">
      <c r="A6" s="8" t="s">
        <v>46</v>
      </c>
      <c r="B6" s="10">
        <f>'Historical Financials'!E18</f>
        <v>7419.72</v>
      </c>
      <c r="C6" s="10">
        <f>C4*Assumptions!B5</f>
        <v>7846.17057</v>
      </c>
      <c r="D6" s="10">
        <f>D4*Assumptions!C5</f>
        <v>8434.633363</v>
      </c>
      <c r="E6" s="10">
        <f>E4*Assumptions!D5</f>
        <v>9019.17307</v>
      </c>
      <c r="F6" s="10">
        <f>F4*Assumptions!E5</f>
        <v>9379.939993</v>
      </c>
      <c r="G6" s="10">
        <f>G4*Assumptions!F5</f>
        <v>9755.137593</v>
      </c>
    </row>
    <row r="7">
      <c r="A7" s="3" t="s">
        <v>23</v>
      </c>
      <c r="B7" s="7">
        <f>'Financial Ratios'!D5</f>
        <v>0.2085155103</v>
      </c>
      <c r="C7" s="7">
        <f>Assumptions!B5</f>
        <v>0.21</v>
      </c>
      <c r="D7" s="7">
        <f>Assumptions!C5</f>
        <v>0.215</v>
      </c>
      <c r="E7" s="7">
        <f>Assumptions!D5</f>
        <v>0.22</v>
      </c>
      <c r="F7" s="7">
        <f>Assumptions!E5</f>
        <v>0.22</v>
      </c>
      <c r="G7" s="7">
        <f>Assumptions!F5</f>
        <v>0.22</v>
      </c>
    </row>
    <row r="8">
      <c r="A8" s="21" t="s">
        <v>58</v>
      </c>
      <c r="B8" s="10">
        <f>'Historical Financials'!E20</f>
        <v>1228.85</v>
      </c>
      <c r="C8" s="10">
        <f>C4*Assumptions!B6</f>
        <v>1307.695095</v>
      </c>
      <c r="D8" s="10">
        <f>D4*Assumptions!C6</f>
        <v>1373.07985</v>
      </c>
      <c r="E8" s="10">
        <f>E4*Assumptions!D6</f>
        <v>1434.868443</v>
      </c>
      <c r="F8" s="10">
        <f>F4*Assumptions!E6</f>
        <v>1492.263181</v>
      </c>
      <c r="G8" s="10">
        <f>G4*Assumptions!F6</f>
        <v>1551.953708</v>
      </c>
    </row>
    <row r="9">
      <c r="A9" s="8" t="s">
        <v>66</v>
      </c>
      <c r="B9" s="10">
        <f t="shared" ref="B9:G9" si="1">B6-B8</f>
        <v>6190.87</v>
      </c>
      <c r="C9" s="10">
        <f t="shared" si="1"/>
        <v>6538.475475</v>
      </c>
      <c r="D9" s="10">
        <f t="shared" si="1"/>
        <v>7061.553513</v>
      </c>
      <c r="E9" s="10">
        <f t="shared" si="1"/>
        <v>7584.304627</v>
      </c>
      <c r="F9" s="10">
        <f t="shared" si="1"/>
        <v>7887.676812</v>
      </c>
      <c r="G9" s="10">
        <f t="shared" si="1"/>
        <v>8203.183885</v>
      </c>
    </row>
    <row r="10">
      <c r="A10" s="3" t="s">
        <v>24</v>
      </c>
      <c r="B10" s="7">
        <f t="shared" ref="B10:G10" si="2">B9/B4</f>
        <v>0.1739812846</v>
      </c>
      <c r="C10" s="7">
        <f t="shared" si="2"/>
        <v>0.175</v>
      </c>
      <c r="D10" s="7">
        <f t="shared" si="2"/>
        <v>0.18</v>
      </c>
      <c r="E10" s="7">
        <f t="shared" si="2"/>
        <v>0.185</v>
      </c>
      <c r="F10" s="7">
        <f t="shared" si="2"/>
        <v>0.185</v>
      </c>
      <c r="G10" s="7">
        <f t="shared" si="2"/>
        <v>0.185</v>
      </c>
    </row>
    <row r="11">
      <c r="A11" s="21" t="s">
        <v>75</v>
      </c>
      <c r="B11" s="10">
        <f>'Historical Financials'!E26</f>
        <v>1608.75</v>
      </c>
      <c r="C11" s="10">
        <f>C9*Assumptions!B7</f>
        <v>1634.618869</v>
      </c>
      <c r="D11" s="10">
        <f>D9*Assumptions!C7</f>
        <v>1765.388378</v>
      </c>
      <c r="E11" s="10">
        <f>E9*Assumptions!D7</f>
        <v>1896.076157</v>
      </c>
      <c r="F11" s="10">
        <f>F9*Assumptions!E7</f>
        <v>1971.919203</v>
      </c>
      <c r="G11" s="10">
        <f>G9*Assumptions!F7</f>
        <v>2050.795971</v>
      </c>
    </row>
    <row r="12">
      <c r="A12" s="8" t="s">
        <v>87</v>
      </c>
      <c r="B12" s="10">
        <f t="shared" ref="B12:G12" si="3">B9-B11</f>
        <v>4582.12</v>
      </c>
      <c r="C12" s="10">
        <f t="shared" si="3"/>
        <v>4903.856606</v>
      </c>
      <c r="D12" s="10">
        <f t="shared" si="3"/>
        <v>5296.165135</v>
      </c>
      <c r="E12" s="10">
        <f t="shared" si="3"/>
        <v>5688.22847</v>
      </c>
      <c r="F12" s="10">
        <f t="shared" si="3"/>
        <v>5915.757609</v>
      </c>
      <c r="G12" s="10">
        <f t="shared" si="3"/>
        <v>6152.387914</v>
      </c>
    </row>
    <row r="15">
      <c r="A15" s="9" t="s">
        <v>94</v>
      </c>
    </row>
    <row r="16">
      <c r="A16" s="24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G1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</cols>
  <sheetData>
    <row r="1">
      <c r="A1" s="25" t="s">
        <v>120</v>
      </c>
    </row>
    <row r="2">
      <c r="A2" s="26" t="s">
        <v>4</v>
      </c>
    </row>
    <row r="3">
      <c r="A3" s="27" t="s">
        <v>122</v>
      </c>
    </row>
    <row r="4">
      <c r="A4" s="27" t="s">
        <v>39</v>
      </c>
      <c r="B4" s="28">
        <f>Assumptions!B16</f>
        <v>0.065</v>
      </c>
      <c r="H4" s="14"/>
      <c r="I4" s="14"/>
    </row>
    <row r="5">
      <c r="A5" s="27" t="s">
        <v>41</v>
      </c>
      <c r="B5" s="28">
        <f>Assumptions!B17</f>
        <v>0.06</v>
      </c>
    </row>
    <row r="6">
      <c r="A6" s="27" t="s">
        <v>43</v>
      </c>
      <c r="B6" s="30">
        <f>Assumptions!B18</f>
        <v>0.9</v>
      </c>
    </row>
    <row r="7">
      <c r="A7" s="27" t="s">
        <v>130</v>
      </c>
      <c r="B7" s="28">
        <f>B4+B6*B5</f>
        <v>0.119</v>
      </c>
    </row>
    <row r="8">
      <c r="A8" s="27" t="s">
        <v>45</v>
      </c>
      <c r="B8" s="28">
        <f>Assumptions!B19</f>
        <v>0.07</v>
      </c>
    </row>
    <row r="9">
      <c r="A9" s="27" t="s">
        <v>26</v>
      </c>
      <c r="B9" s="28">
        <f>Assumptions!B7</f>
        <v>0.25</v>
      </c>
    </row>
    <row r="10">
      <c r="A10" s="27" t="s">
        <v>135</v>
      </c>
      <c r="B10" s="33">
        <f>B8*(1-B9)</f>
        <v>0.0525</v>
      </c>
    </row>
    <row r="11">
      <c r="A11" s="27" t="s">
        <v>142</v>
      </c>
      <c r="B11" s="34">
        <v>230476.0</v>
      </c>
      <c r="D11" s="36" t="s">
        <v>143</v>
      </c>
    </row>
    <row r="12">
      <c r="A12" s="27" t="s">
        <v>148</v>
      </c>
      <c r="B12" s="37">
        <f>'Historical Financials'!E59+'Historical Financials'!E66</f>
        <v>2293.26</v>
      </c>
    </row>
    <row r="13">
      <c r="A13" s="27" t="s">
        <v>149</v>
      </c>
      <c r="B13" s="37">
        <f>B11+B12</f>
        <v>232769.26</v>
      </c>
    </row>
    <row r="14">
      <c r="A14" s="27" t="s">
        <v>150</v>
      </c>
      <c r="B14" s="28">
        <f>B11/B13</f>
        <v>0.9901479259</v>
      </c>
    </row>
    <row r="15">
      <c r="A15" s="27" t="s">
        <v>151</v>
      </c>
      <c r="B15" s="28">
        <f>B12/B13</f>
        <v>0.00985207411</v>
      </c>
    </row>
    <row r="16">
      <c r="A16" s="27" t="s">
        <v>152</v>
      </c>
      <c r="B16" s="28">
        <f>B14*B7+B15*B10</f>
        <v>0.1183448371</v>
      </c>
    </row>
  </sheetData>
  <hyperlinks>
    <hyperlink r:id="rId1" ref="D1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57"/>
  </cols>
  <sheetData>
    <row r="1">
      <c r="A1" s="25" t="s">
        <v>128</v>
      </c>
    </row>
    <row r="3">
      <c r="A3" s="29" t="s">
        <v>4</v>
      </c>
      <c r="B3" s="29" t="s">
        <v>16</v>
      </c>
      <c r="C3" s="29" t="s">
        <v>17</v>
      </c>
      <c r="D3" s="29" t="s">
        <v>18</v>
      </c>
      <c r="E3" s="29" t="s">
        <v>19</v>
      </c>
      <c r="F3" s="29" t="s">
        <v>20</v>
      </c>
      <c r="G3" s="29" t="s">
        <v>21</v>
      </c>
      <c r="I3" s="31"/>
      <c r="J3" s="31"/>
      <c r="K3" s="31"/>
      <c r="L3" s="31"/>
      <c r="M3" s="31"/>
      <c r="N3" s="31"/>
    </row>
    <row r="4">
      <c r="A4" s="27" t="s">
        <v>66</v>
      </c>
      <c r="B4" s="32">
        <f>Forecast!B9</f>
        <v>6190.87</v>
      </c>
      <c r="C4" s="32">
        <f>Forecast!C9</f>
        <v>6538.475475</v>
      </c>
      <c r="D4" s="32">
        <f>Forecast!D9</f>
        <v>7061.553513</v>
      </c>
      <c r="E4" s="32">
        <f>Forecast!E9</f>
        <v>7584.304627</v>
      </c>
      <c r="F4" s="32">
        <f>Forecast!F9</f>
        <v>7887.676812</v>
      </c>
      <c r="G4" s="32">
        <f>Forecast!G9</f>
        <v>8203.183885</v>
      </c>
      <c r="I4" s="35"/>
      <c r="J4" s="35"/>
      <c r="K4" s="35"/>
      <c r="L4" s="35"/>
      <c r="M4" s="35"/>
      <c r="N4" s="35"/>
    </row>
    <row r="5">
      <c r="A5" s="27" t="s">
        <v>75</v>
      </c>
      <c r="B5" s="32">
        <f>Forecast!B11</f>
        <v>1608.75</v>
      </c>
      <c r="C5" s="32">
        <f>Forecast!C11</f>
        <v>1634.618869</v>
      </c>
      <c r="D5" s="32">
        <f>Forecast!D11</f>
        <v>1765.388378</v>
      </c>
      <c r="E5" s="32">
        <f>Forecast!E11</f>
        <v>1896.076157</v>
      </c>
      <c r="F5" s="32">
        <f>Forecast!F11</f>
        <v>1971.919203</v>
      </c>
      <c r="G5" s="32">
        <f>Forecast!G11</f>
        <v>2050.795971</v>
      </c>
      <c r="I5" s="35"/>
      <c r="J5" s="35"/>
      <c r="K5" s="35"/>
      <c r="L5" s="35"/>
      <c r="M5" s="35"/>
      <c r="N5" s="35"/>
    </row>
    <row r="6">
      <c r="A6" s="27" t="s">
        <v>87</v>
      </c>
      <c r="B6" s="32">
        <f>Forecast!B12</f>
        <v>4582.12</v>
      </c>
      <c r="C6" s="32">
        <f>Forecast!C12</f>
        <v>4903.856606</v>
      </c>
      <c r="D6" s="32">
        <f>Forecast!D12</f>
        <v>5296.165135</v>
      </c>
      <c r="E6" s="32">
        <f>Forecast!E12</f>
        <v>5688.22847</v>
      </c>
      <c r="F6" s="32">
        <f>Forecast!F12</f>
        <v>5915.757609</v>
      </c>
      <c r="G6" s="32">
        <f>Forecast!G12</f>
        <v>6152.387914</v>
      </c>
      <c r="I6" s="35"/>
      <c r="J6" s="35"/>
      <c r="K6" s="35"/>
      <c r="L6" s="35"/>
      <c r="M6" s="35"/>
      <c r="N6" s="35"/>
    </row>
    <row r="7">
      <c r="A7" s="27" t="s">
        <v>58</v>
      </c>
      <c r="B7" s="32">
        <f>Forecast!B8</f>
        <v>1228.85</v>
      </c>
      <c r="C7" s="32">
        <f>Forecast!C8</f>
        <v>1307.695095</v>
      </c>
      <c r="D7" s="32">
        <f>Forecast!D8</f>
        <v>1373.07985</v>
      </c>
      <c r="E7" s="32">
        <f>Forecast!E8</f>
        <v>1434.868443</v>
      </c>
      <c r="F7" s="32">
        <f>Forecast!F8</f>
        <v>1492.263181</v>
      </c>
      <c r="G7" s="32">
        <f>Forecast!G8</f>
        <v>1551.953708</v>
      </c>
      <c r="I7" s="35"/>
      <c r="J7" s="35"/>
      <c r="K7" s="35"/>
      <c r="L7" s="35"/>
      <c r="M7" s="35"/>
      <c r="N7" s="35"/>
    </row>
    <row r="8">
      <c r="A8" s="27" t="s">
        <v>154</v>
      </c>
      <c r="B8" s="39">
        <f>1467.02</f>
        <v>1467.02</v>
      </c>
      <c r="C8" s="39">
        <f>Forecast!C4*Assumptions!B11</f>
        <v>1494.50868</v>
      </c>
      <c r="D8" s="39">
        <f>Forecast!D4*Assumptions!C11</f>
        <v>1569.234114</v>
      </c>
      <c r="E8" s="39">
        <f>Forecast!E4*Assumptions!D11</f>
        <v>1639.849649</v>
      </c>
      <c r="F8" s="39">
        <f>Forecast!F4*Assumptions!E11</f>
        <v>1705.443635</v>
      </c>
      <c r="G8" s="39">
        <f>Forecast!G4*Assumptions!F11</f>
        <v>1773.66138</v>
      </c>
      <c r="I8" s="40"/>
      <c r="J8" s="40"/>
      <c r="K8" s="40"/>
      <c r="L8" s="40"/>
      <c r="M8" s="40"/>
      <c r="N8" s="40"/>
    </row>
    <row r="9">
      <c r="A9" s="27" t="s">
        <v>163</v>
      </c>
      <c r="B9" s="37">
        <f>'Historical Financials'!E48</f>
        <v>4461.8</v>
      </c>
      <c r="C9" s="39">
        <f>Forecast!C4*Assumptions!B8</f>
        <v>1868.13585</v>
      </c>
      <c r="D9" s="39">
        <f>Forecast!D4*Assumptions!C8</f>
        <v>1961.542643</v>
      </c>
      <c r="E9" s="39">
        <f>Forecast!E4*Assumptions!D8</f>
        <v>2049.812061</v>
      </c>
      <c r="F9" s="39">
        <f>Forecast!F4*Assumptions!E8</f>
        <v>2131.804544</v>
      </c>
      <c r="G9" s="39">
        <f>Forecast!G4*Assumptions!F8</f>
        <v>2217.076726</v>
      </c>
      <c r="I9" s="35"/>
      <c r="J9" s="40"/>
      <c r="K9" s="40"/>
      <c r="L9" s="40"/>
      <c r="M9" s="40"/>
      <c r="N9" s="40"/>
    </row>
    <row r="10">
      <c r="A10" s="27" t="s">
        <v>169</v>
      </c>
      <c r="B10" s="37">
        <f>'Historical Financials'!E46</f>
        <v>5743.69</v>
      </c>
      <c r="C10" s="39">
        <f>Forecast!C4*Assumptions!B9</f>
        <v>3362.64453</v>
      </c>
      <c r="D10" s="39">
        <f>Forecast!D4*Assumptions!C9</f>
        <v>3530.776757</v>
      </c>
      <c r="E10" s="39">
        <f>Forecast!E4*Assumptions!D9</f>
        <v>3689.661711</v>
      </c>
      <c r="F10" s="39">
        <f>Forecast!F4*Assumptions!E9</f>
        <v>3837.248179</v>
      </c>
      <c r="G10" s="39">
        <f>Forecast!G4*Assumptions!F9</f>
        <v>3990.738106</v>
      </c>
      <c r="I10" s="35"/>
      <c r="J10" s="40"/>
      <c r="K10" s="40"/>
      <c r="L10" s="40"/>
      <c r="M10" s="40"/>
      <c r="N10" s="40"/>
    </row>
    <row r="11">
      <c r="A11" s="27" t="s">
        <v>171</v>
      </c>
      <c r="B11" s="37">
        <f>'Historical Financials'!E68+'Historical Financials'!E69</f>
        <v>3863.04</v>
      </c>
      <c r="C11" s="39">
        <f>Forecast!C4*Assumptions!B10</f>
        <v>2241.76302</v>
      </c>
      <c r="D11" s="39">
        <f>Forecast!D4*Assumptions!C10</f>
        <v>2353.851171</v>
      </c>
      <c r="E11" s="39">
        <f>Forecast!E4*Assumptions!D10</f>
        <v>2459.774474</v>
      </c>
      <c r="F11" s="39">
        <f>Forecast!F4*Assumptions!E10</f>
        <v>2558.165453</v>
      </c>
      <c r="G11" s="39">
        <f>Forecast!G4*Assumptions!F10</f>
        <v>2660.492071</v>
      </c>
      <c r="I11" s="35"/>
      <c r="J11" s="40"/>
      <c r="K11" s="40"/>
      <c r="L11" s="40"/>
      <c r="M11" s="40"/>
      <c r="N11" s="40"/>
    </row>
    <row r="12">
      <c r="A12" s="27" t="s">
        <v>180</v>
      </c>
      <c r="B12" s="37">
        <f t="shared" ref="B12:G12" si="1">B9+B10-B11</f>
        <v>6342.45</v>
      </c>
      <c r="C12" s="39">
        <f t="shared" si="1"/>
        <v>2989.01736</v>
      </c>
      <c r="D12" s="39">
        <f t="shared" si="1"/>
        <v>3138.468228</v>
      </c>
      <c r="E12" s="39">
        <f t="shared" si="1"/>
        <v>3279.699298</v>
      </c>
      <c r="F12" s="39">
        <f t="shared" si="1"/>
        <v>3410.88727</v>
      </c>
      <c r="G12" s="39">
        <f t="shared" si="1"/>
        <v>3547.322761</v>
      </c>
      <c r="I12" s="35"/>
      <c r="J12" s="40"/>
      <c r="K12" s="40"/>
      <c r="L12" s="40"/>
      <c r="M12" s="40"/>
      <c r="N12" s="40"/>
    </row>
    <row r="13">
      <c r="A13" s="27" t="s">
        <v>184</v>
      </c>
      <c r="C13" s="37">
        <f t="shared" ref="C13:G13" si="2">C12-B12</f>
        <v>-3353.43264</v>
      </c>
      <c r="D13" s="39">
        <f t="shared" si="2"/>
        <v>149.450868</v>
      </c>
      <c r="E13" s="39">
        <f t="shared" si="2"/>
        <v>141.2310703</v>
      </c>
      <c r="F13" s="39">
        <f t="shared" si="2"/>
        <v>131.1879719</v>
      </c>
      <c r="G13" s="39">
        <f t="shared" si="2"/>
        <v>136.4354908</v>
      </c>
      <c r="I13" s="43"/>
      <c r="J13" s="40"/>
      <c r="K13" s="40"/>
      <c r="L13" s="40"/>
      <c r="M13" s="40"/>
      <c r="N13" s="40"/>
    </row>
    <row r="14">
      <c r="A14" s="27" t="s">
        <v>188</v>
      </c>
      <c r="C14" s="32">
        <f t="shared" ref="C14:G14" si="3">C6+C7-C8-C13</f>
        <v>8070.475661</v>
      </c>
      <c r="D14" s="32">
        <f t="shared" si="3"/>
        <v>4950.560003</v>
      </c>
      <c r="E14" s="32">
        <f t="shared" si="3"/>
        <v>5342.016194</v>
      </c>
      <c r="F14" s="32">
        <f t="shared" si="3"/>
        <v>5571.389183</v>
      </c>
      <c r="G14" s="32">
        <f t="shared" si="3"/>
        <v>5794.24475</v>
      </c>
      <c r="I14" s="43"/>
      <c r="J14" s="35"/>
      <c r="K14" s="35"/>
      <c r="L14" s="35"/>
      <c r="M14" s="35"/>
      <c r="N14" s="35"/>
    </row>
    <row r="15">
      <c r="A15" s="27" t="s">
        <v>190</v>
      </c>
      <c r="C15" s="39">
        <f>1</f>
        <v>1</v>
      </c>
      <c r="D15" s="39">
        <f t="shared" ref="D15:G15" si="4">C15+1</f>
        <v>2</v>
      </c>
      <c r="E15" s="39">
        <f t="shared" si="4"/>
        <v>3</v>
      </c>
      <c r="F15" s="39">
        <f t="shared" si="4"/>
        <v>4</v>
      </c>
      <c r="G15" s="39">
        <f t="shared" si="4"/>
        <v>5</v>
      </c>
      <c r="I15" s="43"/>
      <c r="J15" s="40"/>
      <c r="K15" s="40"/>
      <c r="L15" s="40"/>
      <c r="M15" s="40"/>
      <c r="N15" s="40"/>
    </row>
    <row r="16">
      <c r="A16" s="27" t="s">
        <v>193</v>
      </c>
      <c r="C16" s="39">
        <f>1/(1+WACC!$B$16)^C15</f>
        <v>0.8941785815</v>
      </c>
      <c r="D16" s="39">
        <f>1/(1+WACC!$B$16)^D15</f>
        <v>0.7995553355</v>
      </c>
      <c r="E16" s="39">
        <f>1/(1+WACC!$B$16)^E15</f>
        <v>0.7149452557</v>
      </c>
      <c r="F16" s="39">
        <f>1/(1+WACC!$B$16)^F15</f>
        <v>0.6392887346</v>
      </c>
      <c r="G16" s="39">
        <f>1/(1+WACC!$B$16)^G15</f>
        <v>0.5716382939</v>
      </c>
      <c r="I16" s="43"/>
      <c r="J16" s="40"/>
      <c r="K16" s="40"/>
      <c r="L16" s="40"/>
      <c r="M16" s="40"/>
      <c r="N16" s="40"/>
    </row>
    <row r="17">
      <c r="A17" s="27" t="s">
        <v>195</v>
      </c>
      <c r="C17" s="39">
        <f t="shared" ref="C17:G17" si="5">C14*C16</f>
        <v>7216.446479</v>
      </c>
      <c r="D17" s="39">
        <f t="shared" si="5"/>
        <v>3958.246664</v>
      </c>
      <c r="E17" s="39">
        <f t="shared" si="5"/>
        <v>3819.249134</v>
      </c>
      <c r="F17" s="39">
        <f t="shared" si="5"/>
        <v>3561.726341</v>
      </c>
      <c r="G17" s="39">
        <f t="shared" si="5"/>
        <v>3312.212183</v>
      </c>
      <c r="I17" s="43"/>
      <c r="J17" s="40"/>
      <c r="K17" s="40"/>
      <c r="L17" s="40"/>
      <c r="M17" s="40"/>
      <c r="N17" s="40"/>
    </row>
    <row r="18">
      <c r="A18" s="15"/>
      <c r="I18" s="15"/>
    </row>
    <row r="19">
      <c r="A19" s="27" t="s">
        <v>199</v>
      </c>
      <c r="B19" s="37">
        <f>G14*(1+Assumptions!B20)/(WACC!B16-Assumptions!B20)</f>
        <v>89018.53086</v>
      </c>
      <c r="I19" s="15"/>
    </row>
    <row r="20">
      <c r="A20" s="27" t="s">
        <v>200</v>
      </c>
      <c r="B20" s="37">
        <f>B19*G16</f>
        <v>50886.4011</v>
      </c>
      <c r="I20" s="15"/>
    </row>
    <row r="21">
      <c r="A21" s="27" t="s">
        <v>157</v>
      </c>
      <c r="B21" s="37">
        <f>SUM(C17:G17)+B20</f>
        <v>72754.2819</v>
      </c>
    </row>
    <row r="22">
      <c r="A22" s="27" t="s">
        <v>201</v>
      </c>
      <c r="B22" s="37">
        <f>WACC!B12</f>
        <v>2293.26</v>
      </c>
    </row>
    <row r="23">
      <c r="A23" s="27" t="s">
        <v>202</v>
      </c>
      <c r="B23" s="37">
        <f>'Historical Financials'!E49</f>
        <v>672.83</v>
      </c>
    </row>
    <row r="24">
      <c r="A24" s="27" t="s">
        <v>142</v>
      </c>
      <c r="B24" s="37">
        <f>B21-B22+B23</f>
        <v>71133.8519</v>
      </c>
    </row>
    <row r="25">
      <c r="A25" s="27" t="s">
        <v>203</v>
      </c>
      <c r="B25" s="37">
        <f>'Historical Financials'!E55</f>
        <v>95.92</v>
      </c>
    </row>
    <row r="26">
      <c r="A26" s="27" t="s">
        <v>204</v>
      </c>
      <c r="B26" s="39">
        <f>B24/B25</f>
        <v>741.5956203</v>
      </c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8.0"/>
    <col customWidth="1" min="4" max="4" width="28.57"/>
  </cols>
  <sheetData>
    <row r="1">
      <c r="A1" s="38" t="s">
        <v>153</v>
      </c>
    </row>
    <row r="3">
      <c r="A3" s="27" t="s">
        <v>155</v>
      </c>
      <c r="B3" s="27" t="s">
        <v>156</v>
      </c>
      <c r="C3" s="27" t="s">
        <v>157</v>
      </c>
      <c r="D3" s="27" t="s">
        <v>22</v>
      </c>
      <c r="E3" s="27" t="s">
        <v>46</v>
      </c>
      <c r="F3" s="27" t="s">
        <v>158</v>
      </c>
      <c r="G3" s="27" t="s">
        <v>159</v>
      </c>
      <c r="H3" s="27" t="s">
        <v>160</v>
      </c>
      <c r="I3" s="27" t="s">
        <v>161</v>
      </c>
    </row>
    <row r="4">
      <c r="A4" s="27" t="s">
        <v>162</v>
      </c>
      <c r="B4" s="37">
        <f>WACC!B11</f>
        <v>230476</v>
      </c>
      <c r="C4" s="37">
        <f>B4+WACC!B12-'Historical Financials'!E49</f>
        <v>232096.43</v>
      </c>
      <c r="D4" s="37">
        <f>'Historical Financials'!E9</f>
        <v>35583.54</v>
      </c>
      <c r="E4" s="37">
        <f>'Historical Financials'!E18</f>
        <v>7419.72</v>
      </c>
      <c r="F4" s="37">
        <f>'Historical Financials'!E27</f>
        <v>4394.69</v>
      </c>
      <c r="G4" s="39">
        <f t="shared" ref="G4:G7" si="1">B4/F4</f>
        <v>52.4441997</v>
      </c>
      <c r="H4" s="39">
        <f t="shared" ref="H4:H7" si="2">C4/E4</f>
        <v>31.28102273</v>
      </c>
      <c r="I4" s="39">
        <f t="shared" ref="I4:I7" si="3">C4/D4</f>
        <v>6.522578417</v>
      </c>
    </row>
    <row r="5">
      <c r="A5" s="15" t="s">
        <v>164</v>
      </c>
      <c r="B5" s="12">
        <v>52114.5</v>
      </c>
      <c r="C5" s="12">
        <v>54358.0</v>
      </c>
      <c r="D5" s="12">
        <v>11880.3</v>
      </c>
      <c r="E5" s="12">
        <v>1833.3</v>
      </c>
      <c r="F5" s="12">
        <v>1128.0</v>
      </c>
      <c r="G5" s="39">
        <f t="shared" si="1"/>
        <v>46.20079787</v>
      </c>
      <c r="H5" s="39">
        <f t="shared" si="2"/>
        <v>29.65035728</v>
      </c>
      <c r="I5" s="39">
        <f t="shared" si="3"/>
        <v>4.575473683</v>
      </c>
    </row>
    <row r="6">
      <c r="A6" s="15" t="s">
        <v>165</v>
      </c>
      <c r="B6" s="12">
        <v>15281.9</v>
      </c>
      <c r="C6" s="12">
        <v>12974.9</v>
      </c>
      <c r="D6" s="12">
        <v>8051.91</v>
      </c>
      <c r="E6" s="12">
        <v>974.6</v>
      </c>
      <c r="F6" s="12">
        <v>575.84</v>
      </c>
      <c r="G6" s="39">
        <f t="shared" si="1"/>
        <v>26.53844818</v>
      </c>
      <c r="H6" s="39">
        <f t="shared" si="2"/>
        <v>13.31305151</v>
      </c>
      <c r="I6" s="39">
        <f t="shared" si="3"/>
        <v>1.611406486</v>
      </c>
    </row>
    <row r="7">
      <c r="A7" s="15" t="s">
        <v>166</v>
      </c>
      <c r="B7" s="12">
        <v>5157.0</v>
      </c>
      <c r="C7" s="12">
        <v>4846.0</v>
      </c>
      <c r="D7" s="12">
        <v>1405.02</v>
      </c>
      <c r="E7" s="12">
        <v>254.77</v>
      </c>
      <c r="F7" s="12">
        <v>147.61</v>
      </c>
      <c r="G7" s="39">
        <f t="shared" si="1"/>
        <v>34.93665741</v>
      </c>
      <c r="H7" s="39">
        <f t="shared" si="2"/>
        <v>19.02107783</v>
      </c>
      <c r="I7" s="39">
        <f t="shared" si="3"/>
        <v>3.449061223</v>
      </c>
      <c r="K7" s="14"/>
      <c r="L7" s="14"/>
    </row>
    <row r="10">
      <c r="A10" s="27" t="s">
        <v>167</v>
      </c>
    </row>
    <row r="12">
      <c r="A12" s="27" t="s">
        <v>168</v>
      </c>
      <c r="B12" s="27" t="s">
        <v>162</v>
      </c>
      <c r="C12" s="27" t="s">
        <v>164</v>
      </c>
      <c r="D12" s="27" t="s">
        <v>165</v>
      </c>
      <c r="E12" s="27" t="s">
        <v>166</v>
      </c>
      <c r="F12" s="27" t="s">
        <v>170</v>
      </c>
    </row>
    <row r="13">
      <c r="A13" s="27" t="s">
        <v>159</v>
      </c>
      <c r="B13" s="39">
        <f>G4</f>
        <v>52.4441997</v>
      </c>
      <c r="C13" s="39">
        <f>G5</f>
        <v>46.20079787</v>
      </c>
      <c r="D13" s="39">
        <f>G6</f>
        <v>26.53844818</v>
      </c>
      <c r="E13" s="39">
        <f>G7</f>
        <v>34.93665741</v>
      </c>
      <c r="F13" s="39">
        <f t="shared" ref="F13:F15" si="4">MEDIAN(C13:E13)</f>
        <v>34.93665741</v>
      </c>
      <c r="K13" s="14"/>
      <c r="L13" s="14"/>
    </row>
    <row r="14">
      <c r="A14" s="27" t="s">
        <v>160</v>
      </c>
      <c r="B14" s="39">
        <f>H4</f>
        <v>31.28102273</v>
      </c>
      <c r="C14" s="39">
        <f>H5</f>
        <v>29.65035728</v>
      </c>
      <c r="D14" s="39">
        <f>H6</f>
        <v>13.31305151</v>
      </c>
      <c r="E14" s="39">
        <f>H7</f>
        <v>19.02107783</v>
      </c>
      <c r="F14" s="39">
        <f t="shared" si="4"/>
        <v>19.02107783</v>
      </c>
    </row>
    <row r="15">
      <c r="A15" s="27" t="s">
        <v>161</v>
      </c>
      <c r="B15" s="39">
        <f>I4</f>
        <v>6.522578417</v>
      </c>
      <c r="C15" s="39">
        <f>I5</f>
        <v>4.575473683</v>
      </c>
      <c r="D15" s="39">
        <f>I6</f>
        <v>1.611406486</v>
      </c>
      <c r="E15" s="39">
        <f>I7</f>
        <v>3.449061223</v>
      </c>
      <c r="F15" s="39">
        <f t="shared" si="4"/>
        <v>3.449061223</v>
      </c>
      <c r="J15" s="14"/>
      <c r="K15" s="13"/>
      <c r="M15" s="14"/>
    </row>
    <row r="16">
      <c r="K16" s="15"/>
    </row>
    <row r="17">
      <c r="K17" s="15"/>
      <c r="M17" s="14"/>
    </row>
    <row r="18">
      <c r="A18" s="27" t="s">
        <v>174</v>
      </c>
      <c r="K18" s="15"/>
    </row>
    <row r="19">
      <c r="K19" s="15"/>
    </row>
    <row r="20">
      <c r="A20" s="27" t="s">
        <v>175</v>
      </c>
      <c r="B20" s="27" t="s">
        <v>170</v>
      </c>
      <c r="C20" s="27" t="s">
        <v>176</v>
      </c>
      <c r="D20" s="27" t="s">
        <v>177</v>
      </c>
      <c r="E20" s="27" t="s">
        <v>178</v>
      </c>
      <c r="K20" s="15"/>
      <c r="L20" s="15"/>
    </row>
    <row r="21">
      <c r="A21" s="27" t="s">
        <v>159</v>
      </c>
      <c r="B21" s="39">
        <f t="shared" ref="B21:B23" si="5">F13</f>
        <v>34.93665741</v>
      </c>
      <c r="C21" s="37">
        <f>F4</f>
        <v>4394.69</v>
      </c>
      <c r="D21" s="37">
        <f t="shared" ref="D21:D23" si="6">B21*C21</f>
        <v>153535.7789</v>
      </c>
      <c r="E21" s="37">
        <f>D21/95.92</f>
        <v>1600.664918</v>
      </c>
      <c r="K21" s="15"/>
    </row>
    <row r="22">
      <c r="A22" s="27" t="s">
        <v>160</v>
      </c>
      <c r="B22" s="39">
        <f t="shared" si="5"/>
        <v>19.02107783</v>
      </c>
      <c r="C22" s="37">
        <f>E4</f>
        <v>7419.72</v>
      </c>
      <c r="D22" s="37">
        <f t="shared" si="6"/>
        <v>141131.0716</v>
      </c>
      <c r="E22" s="37">
        <f>(D22-WACC!B12+'Historical Financials'!E49)/95.92</f>
        <v>1454.44789</v>
      </c>
    </row>
    <row r="23">
      <c r="A23" s="27" t="s">
        <v>161</v>
      </c>
      <c r="B23" s="39">
        <f t="shared" si="5"/>
        <v>3.449061223</v>
      </c>
      <c r="C23" s="37">
        <f>D4</f>
        <v>35583.54</v>
      </c>
      <c r="D23" s="37">
        <f t="shared" si="6"/>
        <v>122729.808</v>
      </c>
      <c r="E23" s="37">
        <f>(D23-WACC!B12+'Historical Financials'!E49)/95.92</f>
        <v>1262.608194</v>
      </c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</cols>
  <sheetData>
    <row r="1">
      <c r="A1" s="38" t="s">
        <v>172</v>
      </c>
    </row>
    <row r="3">
      <c r="A3" s="26" t="s">
        <v>173</v>
      </c>
      <c r="B3" s="41">
        <v>0.04</v>
      </c>
      <c r="C3" s="41">
        <v>0.045</v>
      </c>
      <c r="D3" s="41">
        <v>0.05</v>
      </c>
      <c r="E3" s="41">
        <v>0.055</v>
      </c>
      <c r="F3" s="41">
        <v>0.06</v>
      </c>
      <c r="I3" s="14"/>
      <c r="J3" s="14"/>
    </row>
    <row r="4">
      <c r="A4" s="42">
        <v>0.1083</v>
      </c>
      <c r="B4" s="37">
        <f>(
SUMPRODUCT('DCF Valuation'!$C$14:$G$14,1/(1+$A4)^'DCF Valuation'!$C$15:$G$15)
+
('DCF Valuation'!$G$14*(1+B$3))/($A4-B$3)/(1+$A4)^'DCF Valuation'!$G$15
-WACC!$B$12
+'Historical Financials'!$E$49
)/'DCF Valuation'!$B$25</f>
        <v>766.6351212</v>
      </c>
      <c r="C4" s="37">
        <f>(
SUMPRODUCT('DCF Valuation'!$C$14:$G$14,1/(1+$A4)^'DCF Valuation'!$C$15:$G$15)
+
('DCF Valuation'!$G$14*(1+C$3))/($A4-C$3)/(1+$A4)^'DCF Valuation'!$G$15
-WACC!$B$12
+'Historical Financials'!$E$49
)/'DCF Valuation'!$B$25</f>
        <v>812.9375661</v>
      </c>
      <c r="D4" s="37">
        <f>(
SUMPRODUCT('DCF Valuation'!$C$14:$G$14,1/(1+$A4)^'DCF Valuation'!$C$15:$G$15)
+
('DCF Valuation'!$G$14*(1+D$3))/($A4-D$3)/(1+$A4)^'DCF Valuation'!$G$15
-WACC!$B$12
+'Historical Financials'!$E$49
)/'DCF Valuation'!$B$25</f>
        <v>867.1821113</v>
      </c>
      <c r="E4" s="37">
        <f>(
SUMPRODUCT('DCF Valuation'!$C$14:$G$14,1/(1+$A4)^'DCF Valuation'!$C$15:$G$15)
+
('DCF Valuation'!$G$14*(1+E$3))/($A4-E$3)/(1+$A4)^'DCF Valuation'!$G$15
-WACC!$B$12
+'Historical Financials'!$E$49
)/'DCF Valuation'!$B$25</f>
        <v>931.6038695</v>
      </c>
      <c r="F4" s="37">
        <f>(
SUMPRODUCT('DCF Valuation'!$C$14:$G$14,1/(1+$A4)^'DCF Valuation'!$C$15:$G$15)
+
('DCF Valuation'!$G$14*(1+F$3))/($A4-F$3)/(1+$A4)^'DCF Valuation'!$G$15
-WACC!$B$12
+'Historical Financials'!$E$49
)/'DCF Valuation'!$B$25</f>
        <v>1009.363466</v>
      </c>
    </row>
    <row r="5">
      <c r="A5" s="42">
        <v>0.1133</v>
      </c>
      <c r="B5" s="37">
        <f>(
SUMPRODUCT('DCF Valuation'!$C$14:$G$14,1/(1+$A5)^'DCF Valuation'!$C$15:$G$15)
+
('DCF Valuation'!$G$14*(1+B$3))/($A5-B$3)/(1+$A5)^'DCF Valuation'!$G$15
-WACC!$B$12
+'Historical Financials'!$E$49
)/'DCF Valuation'!$B$25</f>
        <v>714.9499202</v>
      </c>
      <c r="C5" s="37">
        <f>(
SUMPRODUCT('DCF Valuation'!$C$14:$G$14,1/(1+$A5)^'DCF Valuation'!$C$15:$G$15)
+
('DCF Valuation'!$G$14*(1+C$3))/($A5-C$3)/(1+$A5)^'DCF Valuation'!$G$15
-WACC!$B$12
+'Historical Financials'!$E$49
)/'DCF Valuation'!$B$25</f>
        <v>754.222023</v>
      </c>
      <c r="D5" s="37">
        <f>(
SUMPRODUCT('DCF Valuation'!$C$14:$G$14,1/(1+$A5)^'DCF Valuation'!$C$15:$G$15)
+
('DCF Valuation'!$G$14*(1+D$3))/($A5-D$3)/(1+$A5)^'DCF Valuation'!$G$15
-WACC!$B$12
+'Historical Financials'!$E$49
)/'DCF Valuation'!$B$25</f>
        <v>799.6982494</v>
      </c>
      <c r="E5" s="37">
        <f>(
SUMPRODUCT('DCF Valuation'!$C$14:$G$14,1/(1+$A5)^'DCF Valuation'!$C$15:$G$15)
+
('DCF Valuation'!$G$14*(1+E$3))/($A5-E$3)/(1+$A5)^'DCF Valuation'!$G$15
-WACC!$B$12
+'Historical Financials'!$E$49
)/'DCF Valuation'!$B$25</f>
        <v>852.9748578</v>
      </c>
      <c r="F5" s="37">
        <f>(
SUMPRODUCT('DCF Valuation'!$C$14:$G$14,1/(1+$A5)^'DCF Valuation'!$C$15:$G$15)
+
('DCF Valuation'!$G$14*(1+F$3))/($A5-F$3)/(1+$A5)^'DCF Valuation'!$G$15
-WACC!$B$12
+'Historical Financials'!$E$49
)/'DCF Valuation'!$B$25</f>
        <v>916.2470774</v>
      </c>
    </row>
    <row r="6">
      <c r="A6" s="42">
        <v>0.1183</v>
      </c>
      <c r="B6" s="37">
        <f>(
SUMPRODUCT('DCF Valuation'!$C$14:$G$14,1/(1+$A6)^'DCF Valuation'!$C$15:$G$15)
+
('DCF Valuation'!$G$14*(1+B$3))/($A6-B$3)/(1+$A6)^'DCF Valuation'!$G$15
-WACC!$B$12
+'Historical Financials'!$E$49
)/'DCF Valuation'!$B$25</f>
        <v>669.8519101</v>
      </c>
      <c r="C6" s="37">
        <f>(
SUMPRODUCT('DCF Valuation'!$C$14:$G$14,1/(1+$A6)^'DCF Valuation'!$C$15:$G$15)
+
('DCF Valuation'!$G$14*(1+C$3))/($A6-C$3)/(1+$A6)^'DCF Valuation'!$G$15
-WACC!$B$12
+'Historical Financials'!$E$49
)/'DCF Valuation'!$B$25</f>
        <v>703.499862</v>
      </c>
      <c r="D6" s="44">
        <f>(
SUMPRODUCT('DCF Valuation'!$C$14:$G$14,1/(1+$A6)^'DCF Valuation'!$C$15:$G$15)
+
('DCF Valuation'!$G$14*(1+D$3))/($A6-D$3)/(1+$A6)^'DCF Valuation'!$G$15
-WACC!$B$12
+'Historical Financials'!$E$49
)/'DCF Valuation'!$B$25</f>
        <v>742.0743075</v>
      </c>
      <c r="E6" s="37">
        <f>(
SUMPRODUCT('DCF Valuation'!$C$14:$G$14,1/(1+$A6)^'DCF Valuation'!$C$15:$G$15)
+
('DCF Valuation'!$G$14*(1+E$3))/($A6-E$3)/(1+$A6)^'DCF Valuation'!$G$15
-WACC!$B$12
+'Historical Financials'!$E$49
)/'DCF Valuation'!$B$25</f>
        <v>786.7426623</v>
      </c>
      <c r="F6" s="37">
        <f>(
SUMPRODUCT('DCF Valuation'!$C$14:$G$14,1/(1+$A6)^'DCF Valuation'!$C$15:$G$15)
+
('DCF Valuation'!$G$14*(1+F$3))/($A6-F$3)/(1+$A6)^'DCF Valuation'!$G$15
-WACC!$B$12
+'Historical Financials'!$E$49
)/'DCF Valuation'!$B$25</f>
        <v>839.0728275</v>
      </c>
      <c r="J6" s="45"/>
    </row>
    <row r="7">
      <c r="A7" s="42">
        <v>0.1233</v>
      </c>
      <c r="B7" s="37">
        <f>(
SUMPRODUCT('DCF Valuation'!$C$14:$G$14,1/(1+$A7)^'DCF Valuation'!$C$15:$G$15)
+
('DCF Valuation'!$G$14*(1+B$3))/($A7-B$3)/(1+$A7)^'DCF Valuation'!$G$15
-WACC!$B$12
+'Historical Financials'!$E$49
)/'DCF Valuation'!$B$25</f>
        <v>630.1550809</v>
      </c>
      <c r="C7" s="37">
        <f>(
SUMPRODUCT('DCF Valuation'!$C$14:$G$14,1/(1+$A7)^'DCF Valuation'!$C$15:$G$15)
+
('DCF Valuation'!$G$14*(1+C$3))/($A7-C$3)/(1+$A7)^'DCF Valuation'!$G$15
-WACC!$B$12
+'Historical Financials'!$E$49
)/'DCF Valuation'!$B$25</f>
        <v>659.2400008</v>
      </c>
      <c r="D7" s="37">
        <f>(
SUMPRODUCT('DCF Valuation'!$C$14:$G$14,1/(1+$A7)^'DCF Valuation'!$C$15:$G$15)
+
('DCF Valuation'!$G$14*(1+D$3))/($A7-D$3)/(1+$A7)^'DCF Valuation'!$G$15
-WACC!$B$12
+'Historical Financials'!$E$49
)/'DCF Valuation'!$B$25</f>
        <v>692.2928496</v>
      </c>
      <c r="E7" s="37">
        <f>(
SUMPRODUCT('DCF Valuation'!$C$14:$G$14,1/(1+$A7)^'DCF Valuation'!$C$15:$G$15)
+
('DCF Valuation'!$G$14*(1+E$3))/($A7-E$3)/(1+$A7)^'DCF Valuation'!$G$15
-WACC!$B$12
+'Historical Financials'!$E$49
)/'DCF Valuation'!$B$25</f>
        <v>730.1850615</v>
      </c>
      <c r="F7" s="37">
        <f>(
SUMPRODUCT('DCF Valuation'!$C$14:$G$14,1/(1+$A7)^'DCF Valuation'!$C$15:$G$15)
+
('DCF Valuation'!$G$14*(1+F$3))/($A7-F$3)/(1+$A7)^'DCF Valuation'!$G$15
-WACC!$B$12
+'Historical Financials'!$E$49
)/'DCF Valuation'!$B$25</f>
        <v>774.0634047</v>
      </c>
      <c r="J7" s="45"/>
    </row>
    <row r="8">
      <c r="A8" s="42">
        <v>0.1283</v>
      </c>
      <c r="B8" s="37">
        <f>(
SUMPRODUCT('DCF Valuation'!$C$14:$G$14,1/(1+$A8)^'DCF Valuation'!$C$15:$G$15)
+
('DCF Valuation'!$G$14*(1+B$3))/($A8-B$3)/(1+$A8)^'DCF Valuation'!$G$15
-WACC!$B$12
+'Historical Financials'!$E$49
)/'DCF Valuation'!$B$25</f>
        <v>594.9420522</v>
      </c>
      <c r="C8" s="37">
        <f>(
SUMPRODUCT('DCF Valuation'!$C$14:$G$14,1/(1+$A8)^'DCF Valuation'!$C$15:$G$15)
+
('DCF Valuation'!$G$14*(1+C$3))/($A8-C$3)/(1+$A8)^'DCF Valuation'!$G$15
-WACC!$B$12
+'Historical Financials'!$E$49
)/'DCF Valuation'!$B$25</f>
        <v>620.2789601</v>
      </c>
      <c r="D8" s="37">
        <f>(
SUMPRODUCT('DCF Valuation'!$C$14:$G$14,1/(1+$A8)^'DCF Valuation'!$C$15:$G$15)
+
('DCF Valuation'!$G$14*(1+D$3))/($A8-D$3)/(1+$A8)^'DCF Valuation'!$G$15
-WACC!$B$12
+'Historical Financials'!$E$49
)/'DCF Valuation'!$B$25</f>
        <v>648.8517438</v>
      </c>
      <c r="E8" s="37">
        <f>(
SUMPRODUCT('DCF Valuation'!$C$14:$G$14,1/(1+$A8)^'DCF Valuation'!$C$15:$G$15)
+
('DCF Valuation'!$G$14*(1+E$3))/($A8-E$3)/(1+$A8)^'DCF Valuation'!$G$15
-WACC!$B$12
+'Historical Financials'!$E$49
)/'DCF Valuation'!$B$25</f>
        <v>681.3225881</v>
      </c>
      <c r="F8" s="37">
        <f>(
SUMPRODUCT('DCF Valuation'!$C$14:$G$14,1/(1+$A8)^'DCF Valuation'!$C$15:$G$15)
+
('DCF Valuation'!$G$14*(1+F$3))/($A8-F$3)/(1+$A8)^'DCF Valuation'!$G$15
-WACC!$B$12
+'Historical Financials'!$E$49
)/'DCF Valuation'!$B$25</f>
        <v>718.5475824</v>
      </c>
      <c r="J8" s="45"/>
    </row>
    <row r="9">
      <c r="J9" s="45"/>
    </row>
    <row r="10">
      <c r="J10" s="45"/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1.57"/>
    <col customWidth="1" min="3" max="3" width="28.71"/>
  </cols>
  <sheetData>
    <row r="1">
      <c r="A1" s="25" t="s">
        <v>179</v>
      </c>
    </row>
    <row r="3">
      <c r="A3" s="26" t="s">
        <v>168</v>
      </c>
      <c r="B3" s="26" t="s">
        <v>122</v>
      </c>
    </row>
    <row r="4">
      <c r="A4" s="27" t="s">
        <v>181</v>
      </c>
      <c r="B4" s="34">
        <v>1620.0</v>
      </c>
    </row>
    <row r="5">
      <c r="A5" s="27" t="s">
        <v>182</v>
      </c>
      <c r="B5" s="37">
        <f>'DCF Valuation'!B26</f>
        <v>741.5956203</v>
      </c>
    </row>
    <row r="6">
      <c r="A6" s="27" t="s">
        <v>183</v>
      </c>
      <c r="B6" s="28">
        <f>B5/B4-1</f>
        <v>-0.5422249257</v>
      </c>
    </row>
    <row r="7">
      <c r="A7" s="27" t="s">
        <v>185</v>
      </c>
      <c r="B7" s="37">
        <f>'Comparable Companies'!E21</f>
        <v>1600.664918</v>
      </c>
    </row>
    <row r="8">
      <c r="A8" s="27" t="s">
        <v>186</v>
      </c>
      <c r="B8" s="37">
        <f>'Comparable Companies'!E22</f>
        <v>1454.44789</v>
      </c>
    </row>
    <row r="9">
      <c r="A9" s="27" t="s">
        <v>187</v>
      </c>
      <c r="B9" s="37">
        <f>'Comparable Companies'!E23</f>
        <v>1262.608194</v>
      </c>
    </row>
    <row r="10">
      <c r="A10" s="27" t="s">
        <v>189</v>
      </c>
      <c r="B10" s="37">
        <f>AVERAGE(B7:B9)</f>
        <v>1439.240334</v>
      </c>
    </row>
    <row r="11">
      <c r="A11" s="27" t="s">
        <v>152</v>
      </c>
      <c r="B11" s="28">
        <f>WACC!B16</f>
        <v>0.1183448371</v>
      </c>
    </row>
    <row r="12">
      <c r="A12" s="27" t="s">
        <v>47</v>
      </c>
      <c r="B12" s="28">
        <f>Assumptions!B20</f>
        <v>0.05</v>
      </c>
    </row>
    <row r="15">
      <c r="A15" s="38" t="s">
        <v>191</v>
      </c>
    </row>
    <row r="16">
      <c r="A16" s="14"/>
      <c r="B16" s="14"/>
      <c r="C16" s="14"/>
    </row>
    <row r="17">
      <c r="A17" s="26" t="s">
        <v>175</v>
      </c>
      <c r="B17" s="26" t="s">
        <v>178</v>
      </c>
      <c r="C17" s="26" t="s">
        <v>192</v>
      </c>
    </row>
    <row r="18">
      <c r="A18" s="27" t="s">
        <v>194</v>
      </c>
      <c r="B18" s="37">
        <f>B5</f>
        <v>741.5956203</v>
      </c>
      <c r="C18" s="28">
        <f t="shared" ref="C18:C21" si="1">B18/$B$4-1</f>
        <v>-0.5422249257</v>
      </c>
    </row>
    <row r="19">
      <c r="A19" s="27" t="s">
        <v>159</v>
      </c>
      <c r="B19" s="37">
        <f t="shared" ref="B19:B21" si="2">B7</f>
        <v>1600.664918</v>
      </c>
      <c r="C19" s="28">
        <f t="shared" si="1"/>
        <v>-0.01193523574</v>
      </c>
    </row>
    <row r="20">
      <c r="A20" s="27" t="s">
        <v>160</v>
      </c>
      <c r="B20" s="37">
        <f t="shared" si="2"/>
        <v>1454.44789</v>
      </c>
      <c r="C20" s="28">
        <f t="shared" si="1"/>
        <v>-0.1021926603</v>
      </c>
    </row>
    <row r="21">
      <c r="A21" s="27" t="s">
        <v>161</v>
      </c>
      <c r="B21" s="37">
        <f t="shared" si="2"/>
        <v>1262.608194</v>
      </c>
      <c r="C21" s="28">
        <f t="shared" si="1"/>
        <v>-0.2206122257</v>
      </c>
    </row>
    <row r="24">
      <c r="A24" s="38" t="s">
        <v>196</v>
      </c>
    </row>
    <row r="26">
      <c r="A26" s="27" t="s">
        <v>197</v>
      </c>
      <c r="B26" s="37">
        <f>B5</f>
        <v>741.5956203</v>
      </c>
    </row>
    <row r="27">
      <c r="A27" s="27" t="s">
        <v>198</v>
      </c>
      <c r="B27" s="37">
        <f>B10</f>
        <v>1439.240334</v>
      </c>
    </row>
    <row r="28">
      <c r="A28" s="27" t="s">
        <v>181</v>
      </c>
      <c r="B28" s="37">
        <f>B4</f>
        <v>1620</v>
      </c>
    </row>
    <row r="29">
      <c r="C29" s="14"/>
      <c r="D29" s="14"/>
    </row>
  </sheetData>
  <mergeCells count="2">
    <mergeCell ref="A1:B1"/>
    <mergeCell ref="A15:B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3.43"/>
    <col customWidth="1" min="3" max="3" width="24.14"/>
    <col customWidth="1" min="5" max="5" width="18.14"/>
    <col customWidth="1" min="6" max="6" width="19.86"/>
    <col customWidth="1" min="7" max="7" width="22.71"/>
    <col customWidth="1" min="8" max="8" width="22.14"/>
    <col customWidth="1" min="9" max="9" width="20.57"/>
    <col customWidth="1" min="11" max="11" width="28.86"/>
  </cols>
  <sheetData>
    <row r="1">
      <c r="A1" s="46" t="s">
        <v>205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/>
      <c r="M1" s="49"/>
    </row>
    <row r="2">
      <c r="A2" s="50"/>
      <c r="B2" s="51"/>
      <c r="C2" s="51"/>
      <c r="D2" s="51"/>
      <c r="E2" s="51"/>
      <c r="F2" s="51"/>
      <c r="G2" s="51"/>
      <c r="H2" s="51"/>
      <c r="I2" s="51"/>
      <c r="J2" s="51"/>
      <c r="K2" s="52"/>
      <c r="L2" s="49"/>
      <c r="M2" s="49"/>
    </row>
    <row r="3">
      <c r="A3" s="53" t="s">
        <v>206</v>
      </c>
      <c r="L3" s="49"/>
      <c r="M3" s="49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>
      <c r="A5" s="54" t="s">
        <v>207</v>
      </c>
      <c r="B5" s="4"/>
      <c r="C5" s="49"/>
      <c r="D5" s="54" t="s">
        <v>208</v>
      </c>
      <c r="E5" s="4"/>
      <c r="F5" s="49"/>
      <c r="G5" s="54" t="s">
        <v>209</v>
      </c>
      <c r="H5" s="4"/>
      <c r="I5" s="49"/>
      <c r="J5" s="54" t="s">
        <v>210</v>
      </c>
      <c r="K5" s="4"/>
      <c r="L5" s="49"/>
      <c r="M5" s="49"/>
    </row>
    <row r="6">
      <c r="A6" s="55">
        <f>'Valuation Summary'!B4</f>
        <v>1620</v>
      </c>
      <c r="B6" s="56"/>
      <c r="C6" s="49"/>
      <c r="D6" s="55">
        <f>'Valuation Summary'!B5</f>
        <v>741.5956203</v>
      </c>
      <c r="E6" s="56"/>
      <c r="F6" s="49"/>
      <c r="G6" s="55">
        <f>'Valuation Summary'!B10</f>
        <v>1439.240334</v>
      </c>
      <c r="H6" s="56"/>
      <c r="I6" s="49"/>
      <c r="J6" s="57">
        <f>'Valuation Summary'!B6</f>
        <v>-0.5422249257</v>
      </c>
      <c r="K6" s="56"/>
      <c r="L6" s="49"/>
      <c r="M6" s="49"/>
    </row>
    <row r="7">
      <c r="A7" s="58"/>
      <c r="B7" s="59"/>
      <c r="C7" s="49"/>
      <c r="D7" s="58"/>
      <c r="E7" s="59"/>
      <c r="F7" s="49"/>
      <c r="G7" s="58"/>
      <c r="H7" s="59"/>
      <c r="I7" s="49"/>
      <c r="J7" s="58"/>
      <c r="K7" s="59"/>
      <c r="L7" s="49"/>
      <c r="M7" s="49"/>
    </row>
    <row r="8">
      <c r="A8" s="60"/>
      <c r="B8" s="61"/>
      <c r="C8" s="49"/>
      <c r="D8" s="60"/>
      <c r="E8" s="61"/>
      <c r="F8" s="49"/>
      <c r="G8" s="60"/>
      <c r="H8" s="61"/>
      <c r="I8" s="49"/>
      <c r="J8" s="60"/>
      <c r="K8" s="61"/>
      <c r="L8" s="49"/>
      <c r="M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>
      <c r="A10" s="62" t="s">
        <v>211</v>
      </c>
      <c r="B10" s="63"/>
      <c r="C10" s="63"/>
      <c r="D10" s="49"/>
      <c r="E10" s="49"/>
      <c r="F10" s="49"/>
      <c r="G10" s="62" t="s">
        <v>212</v>
      </c>
      <c r="H10" s="63"/>
      <c r="I10" s="63"/>
      <c r="J10" s="49"/>
      <c r="K10" s="49"/>
      <c r="L10" s="49"/>
      <c r="M10" s="49"/>
    </row>
    <row r="11">
      <c r="A11" s="64" t="s">
        <v>175</v>
      </c>
      <c r="B11" s="64" t="s">
        <v>178</v>
      </c>
      <c r="C11" s="64" t="s">
        <v>213</v>
      </c>
      <c r="D11" s="65"/>
      <c r="E11" s="65"/>
      <c r="F11" s="49"/>
      <c r="G11" s="66" t="s">
        <v>22</v>
      </c>
      <c r="H11" s="67">
        <f>Forecast!B4</f>
        <v>35583.54</v>
      </c>
      <c r="I11" s="68"/>
      <c r="J11" s="49"/>
      <c r="K11" s="49"/>
      <c r="L11" s="49"/>
      <c r="M11" s="49"/>
    </row>
    <row r="12">
      <c r="A12" s="69" t="s">
        <v>194</v>
      </c>
      <c r="B12" s="70">
        <f>'Valuation Summary'!B18</f>
        <v>741.5956203</v>
      </c>
      <c r="C12" s="71">
        <f>'Valuation Summary'!C18</f>
        <v>-0.5422249257</v>
      </c>
      <c r="D12" s="49"/>
      <c r="E12" s="49"/>
      <c r="F12" s="49"/>
      <c r="G12" s="66" t="s">
        <v>46</v>
      </c>
      <c r="H12" s="67">
        <f>Forecast!B6</f>
        <v>7419.72</v>
      </c>
      <c r="I12" s="68"/>
      <c r="J12" s="49"/>
      <c r="K12" s="49"/>
      <c r="L12" s="49"/>
      <c r="M12" s="49"/>
    </row>
    <row r="13">
      <c r="A13" s="69" t="s">
        <v>159</v>
      </c>
      <c r="B13" s="72">
        <f>'Valuation Summary'!B19</f>
        <v>1600.664918</v>
      </c>
      <c r="C13" s="71">
        <f>'Valuation Summary'!C19</f>
        <v>-0.01193523574</v>
      </c>
      <c r="D13" s="49"/>
      <c r="E13" s="49"/>
      <c r="F13" s="49"/>
      <c r="G13" s="66" t="s">
        <v>158</v>
      </c>
      <c r="H13" s="67">
        <f>'Historical Financials'!E27</f>
        <v>4394.69</v>
      </c>
      <c r="I13" s="68"/>
      <c r="J13" s="49"/>
      <c r="K13" s="49"/>
      <c r="L13" s="49"/>
      <c r="M13" s="49"/>
    </row>
    <row r="14">
      <c r="A14" s="69" t="s">
        <v>160</v>
      </c>
      <c r="B14" s="72">
        <f>'Valuation Summary'!B20</f>
        <v>1454.44789</v>
      </c>
      <c r="C14" s="71">
        <f>'Valuation Summary'!C20</f>
        <v>-0.1021926603</v>
      </c>
      <c r="D14" s="49"/>
      <c r="E14" s="49"/>
      <c r="F14" s="49"/>
      <c r="G14" s="66" t="s">
        <v>23</v>
      </c>
      <c r="H14" s="73">
        <f>'Financial Ratios'!D5</f>
        <v>0.2085155103</v>
      </c>
      <c r="I14" s="68"/>
      <c r="J14" s="49"/>
      <c r="K14" s="49"/>
      <c r="L14" s="49"/>
      <c r="M14" s="49"/>
    </row>
    <row r="15">
      <c r="A15" s="69" t="s">
        <v>161</v>
      </c>
      <c r="B15" s="72">
        <f>'Valuation Summary'!B21</f>
        <v>1262.608194</v>
      </c>
      <c r="C15" s="71">
        <f>'Valuation Summary'!C21</f>
        <v>-0.2206122257</v>
      </c>
      <c r="D15" s="49"/>
      <c r="E15" s="49"/>
      <c r="F15" s="49"/>
      <c r="G15" s="66" t="s">
        <v>40</v>
      </c>
      <c r="H15" s="73">
        <f>'Financial Ratios'!D8</f>
        <v>0.2089027364</v>
      </c>
      <c r="I15" s="68"/>
      <c r="J15" s="49"/>
      <c r="K15" s="49"/>
      <c r="L15" s="49"/>
      <c r="M15" s="49"/>
    </row>
    <row r="16">
      <c r="A16" s="69" t="s">
        <v>214</v>
      </c>
      <c r="B16" s="72">
        <f>'Valuation Summary'!B4</f>
        <v>1620</v>
      </c>
      <c r="C16" s="71">
        <f>0</f>
        <v>0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>
      <c r="A18" s="62" t="s">
        <v>215</v>
      </c>
      <c r="B18" s="63"/>
      <c r="C18" s="63"/>
      <c r="D18" s="63"/>
      <c r="E18" s="4"/>
      <c r="F18" s="49"/>
      <c r="G18" s="62" t="s">
        <v>216</v>
      </c>
      <c r="H18" s="63"/>
      <c r="I18" s="63"/>
      <c r="J18" s="63"/>
      <c r="K18" s="63"/>
      <c r="L18" s="63"/>
      <c r="M18" s="4"/>
    </row>
    <row r="19">
      <c r="A19" s="64" t="s">
        <v>168</v>
      </c>
      <c r="B19" s="64" t="s">
        <v>27</v>
      </c>
      <c r="C19" s="64" t="s">
        <v>13</v>
      </c>
      <c r="D19" s="64" t="s">
        <v>14</v>
      </c>
      <c r="E19" s="64" t="s">
        <v>15</v>
      </c>
      <c r="F19" s="49"/>
      <c r="G19" s="64" t="s">
        <v>168</v>
      </c>
      <c r="H19" s="64" t="s">
        <v>16</v>
      </c>
      <c r="I19" s="64" t="s">
        <v>17</v>
      </c>
      <c r="J19" s="64" t="s">
        <v>18</v>
      </c>
      <c r="K19" s="64" t="s">
        <v>19</v>
      </c>
      <c r="L19" s="64" t="s">
        <v>20</v>
      </c>
      <c r="M19" s="64" t="s">
        <v>21</v>
      </c>
    </row>
    <row r="20">
      <c r="A20" s="69" t="s">
        <v>23</v>
      </c>
      <c r="B20" s="71">
        <f>'Historical Financials'!B18/'Historical Financials'!B9</f>
        <v>0.1927106907</v>
      </c>
      <c r="C20" s="71">
        <f>'Historical Financials'!C18/'Historical Financials'!C9</f>
        <v>0.2330751636</v>
      </c>
      <c r="D20" s="71">
        <f>'Historical Financials'!D18/'Historical Financials'!D9</f>
        <v>0.1940333195</v>
      </c>
      <c r="E20" s="71">
        <f>'Historical Financials'!E18/'Historical Financials'!E9</f>
        <v>0.2085155103</v>
      </c>
      <c r="F20" s="49"/>
      <c r="G20" s="69" t="s">
        <v>22</v>
      </c>
      <c r="H20" s="74">
        <f>Forecast!B4</f>
        <v>35583.54</v>
      </c>
      <c r="I20" s="74">
        <f>Forecast!C4</f>
        <v>37362.717</v>
      </c>
      <c r="J20" s="74">
        <f>Forecast!D4</f>
        <v>39230.85285</v>
      </c>
      <c r="K20" s="74">
        <f>Forecast!E4</f>
        <v>40996.24123</v>
      </c>
      <c r="L20" s="74">
        <f>Forecast!F4</f>
        <v>42636.09088</v>
      </c>
      <c r="M20" s="74">
        <f>Forecast!G4</f>
        <v>44341.53451</v>
      </c>
    </row>
    <row r="21">
      <c r="A21" s="69" t="s">
        <v>34</v>
      </c>
      <c r="B21" s="71">
        <f>'Historical Financials'!B27/'Historical Financials'!B9</f>
        <v>0.1216439988</v>
      </c>
      <c r="C21" s="71">
        <f>'Historical Financials'!C27/'Historical Financials'!C9</f>
        <v>0.156577892</v>
      </c>
      <c r="D21" s="71">
        <f>'Historical Financials'!D27/'Historical Financials'!D9</f>
        <v>0.1094128348</v>
      </c>
      <c r="E21" s="71">
        <f>'Historical Financials'!E27/'Historical Financials'!E9</f>
        <v>0.1235034513</v>
      </c>
      <c r="F21" s="49"/>
      <c r="G21" s="69" t="s">
        <v>46</v>
      </c>
      <c r="H21" s="74">
        <f>Forecast!B6</f>
        <v>7419.72</v>
      </c>
      <c r="I21" s="74">
        <f>Forecast!C6</f>
        <v>7846.17057</v>
      </c>
      <c r="J21" s="74">
        <f>Forecast!D6</f>
        <v>8434.633363</v>
      </c>
      <c r="K21" s="74">
        <f>Forecast!E6</f>
        <v>9019.17307</v>
      </c>
      <c r="L21" s="74">
        <f>Forecast!F6</f>
        <v>9379.939993</v>
      </c>
      <c r="M21" s="74">
        <f>Forecast!G6</f>
        <v>9755.137593</v>
      </c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>
      <c r="F26" s="49"/>
      <c r="G26" s="49"/>
      <c r="H26" s="49"/>
      <c r="I26" s="49"/>
      <c r="J26" s="49"/>
      <c r="K26" s="49"/>
      <c r="L26" s="49"/>
      <c r="M26" s="49"/>
    </row>
    <row r="27">
      <c r="F27" s="49"/>
      <c r="G27" s="49"/>
      <c r="H27" s="49"/>
      <c r="I27" s="49"/>
      <c r="J27" s="49"/>
      <c r="K27" s="49"/>
      <c r="L27" s="49"/>
      <c r="M27" s="49"/>
    </row>
    <row r="28">
      <c r="F28" s="49"/>
      <c r="G28" s="49"/>
      <c r="H28" s="49"/>
      <c r="I28" s="49"/>
      <c r="J28" s="49"/>
      <c r="K28" s="49"/>
      <c r="L28" s="49"/>
      <c r="M28" s="49"/>
    </row>
    <row r="29">
      <c r="F29" s="49"/>
      <c r="G29" s="49"/>
      <c r="H29" s="49"/>
      <c r="I29" s="49"/>
      <c r="J29" s="49"/>
      <c r="K29" s="49"/>
      <c r="L29" s="49"/>
      <c r="M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>
      <c r="D32" s="49"/>
      <c r="E32" s="49"/>
      <c r="F32" s="49"/>
      <c r="M32" s="75"/>
    </row>
    <row r="33">
      <c r="D33" s="49"/>
      <c r="E33" s="49"/>
      <c r="F33" s="49"/>
      <c r="M33" s="49"/>
    </row>
    <row r="34">
      <c r="D34" s="49"/>
      <c r="E34" s="49"/>
      <c r="F34" s="49"/>
      <c r="M34" s="49"/>
    </row>
    <row r="35">
      <c r="D35" s="49"/>
      <c r="E35" s="49"/>
      <c r="F35" s="49"/>
      <c r="M35" s="49"/>
    </row>
    <row r="36">
      <c r="D36" s="49"/>
      <c r="E36" s="49"/>
      <c r="F36" s="49"/>
      <c r="M36" s="49"/>
    </row>
    <row r="37">
      <c r="A37" s="62" t="s">
        <v>217</v>
      </c>
      <c r="B37" s="63"/>
      <c r="C37" s="63"/>
      <c r="D37" s="49"/>
      <c r="E37" s="49"/>
      <c r="F37" s="49"/>
      <c r="G37" s="62" t="s">
        <v>218</v>
      </c>
      <c r="H37" s="63"/>
      <c r="I37" s="63"/>
      <c r="J37" s="63"/>
      <c r="K37" s="63"/>
      <c r="L37" s="63"/>
      <c r="M37" s="49"/>
    </row>
    <row r="38">
      <c r="A38" s="66" t="s">
        <v>152</v>
      </c>
      <c r="B38" s="76">
        <f>WACC!B16</f>
        <v>0.1183448371</v>
      </c>
      <c r="C38" s="68"/>
      <c r="D38" s="49"/>
      <c r="E38" s="49"/>
      <c r="F38" s="49"/>
      <c r="G38" s="64" t="s">
        <v>219</v>
      </c>
      <c r="H38" s="77">
        <f>'Sensitivity Analysis'!B3</f>
        <v>0.04</v>
      </c>
      <c r="I38" s="77">
        <f>'Sensitivity Analysis'!C3</f>
        <v>0.045</v>
      </c>
      <c r="J38" s="77">
        <f>'Sensitivity Analysis'!D3</f>
        <v>0.05</v>
      </c>
      <c r="K38" s="77">
        <f>'Sensitivity Analysis'!E3</f>
        <v>0.055</v>
      </c>
      <c r="L38" s="77">
        <f>'Sensitivity Analysis'!F3</f>
        <v>0.06</v>
      </c>
      <c r="M38" s="49"/>
    </row>
    <row r="39">
      <c r="A39" s="66" t="s">
        <v>47</v>
      </c>
      <c r="B39" s="73">
        <f>Assumptions!B20</f>
        <v>0.05</v>
      </c>
      <c r="C39" s="68"/>
      <c r="G39" s="78">
        <f>'Sensitivity Analysis'!A4</f>
        <v>0.1083</v>
      </c>
      <c r="H39" s="79">
        <f>'Sensitivity Analysis'!B4</f>
        <v>766.6351212</v>
      </c>
      <c r="I39" s="79">
        <f>'Sensitivity Analysis'!C4</f>
        <v>812.9375661</v>
      </c>
      <c r="J39" s="79">
        <f>'Sensitivity Analysis'!D4</f>
        <v>867.1821113</v>
      </c>
      <c r="K39" s="79">
        <f>'Sensitivity Analysis'!E4</f>
        <v>931.6038695</v>
      </c>
      <c r="L39" s="79">
        <f>'Sensitivity Analysis'!F4</f>
        <v>1009.363466</v>
      </c>
      <c r="M39" s="49"/>
    </row>
    <row r="40">
      <c r="A40" s="66" t="s">
        <v>39</v>
      </c>
      <c r="B40" s="73">
        <f>WACC!B4</f>
        <v>0.065</v>
      </c>
      <c r="C40" s="68"/>
      <c r="G40" s="78">
        <f>'Sensitivity Analysis'!A5</f>
        <v>0.1133</v>
      </c>
      <c r="H40" s="79">
        <f>'Sensitivity Analysis'!B5</f>
        <v>714.9499202</v>
      </c>
      <c r="I40" s="79">
        <f>'Sensitivity Analysis'!C5</f>
        <v>754.222023</v>
      </c>
      <c r="J40" s="79">
        <f>'Sensitivity Analysis'!D5</f>
        <v>799.6982494</v>
      </c>
      <c r="K40" s="79">
        <f>'Sensitivity Analysis'!E5</f>
        <v>852.9748578</v>
      </c>
      <c r="L40" s="79">
        <f>'Sensitivity Analysis'!F5</f>
        <v>916.2470774</v>
      </c>
    </row>
    <row r="41">
      <c r="A41" s="66" t="s">
        <v>41</v>
      </c>
      <c r="B41" s="73">
        <f>WACC!B5</f>
        <v>0.06</v>
      </c>
      <c r="C41" s="68"/>
      <c r="D41" s="80"/>
      <c r="E41" s="80"/>
      <c r="F41" s="80"/>
      <c r="G41" s="78">
        <f>'Sensitivity Analysis'!A6</f>
        <v>0.1183</v>
      </c>
      <c r="H41" s="79">
        <f>'Sensitivity Analysis'!B6</f>
        <v>669.8519101</v>
      </c>
      <c r="I41" s="79">
        <f>'Sensitivity Analysis'!C6</f>
        <v>703.499862</v>
      </c>
      <c r="J41" s="81">
        <f>'Sensitivity Analysis'!D6</f>
        <v>742.0743075</v>
      </c>
      <c r="K41" s="79">
        <f>'Sensitivity Analysis'!E6</f>
        <v>786.7426623</v>
      </c>
      <c r="L41" s="79">
        <f>'Sensitivity Analysis'!F6</f>
        <v>839.0728275</v>
      </c>
    </row>
    <row r="42">
      <c r="A42" s="66" t="s">
        <v>43</v>
      </c>
      <c r="B42" s="82">
        <f>WACC!B6</f>
        <v>0.9</v>
      </c>
      <c r="C42" s="68"/>
      <c r="D42" s="80"/>
      <c r="E42" s="80"/>
      <c r="F42" s="80"/>
      <c r="G42" s="78">
        <f>'Sensitivity Analysis'!A7</f>
        <v>0.1233</v>
      </c>
      <c r="H42" s="79">
        <f>'Sensitivity Analysis'!B7</f>
        <v>630.1550809</v>
      </c>
      <c r="I42" s="79">
        <f>'Sensitivity Analysis'!C7</f>
        <v>659.2400008</v>
      </c>
      <c r="J42" s="79">
        <f>'Sensitivity Analysis'!D7</f>
        <v>692.2928496</v>
      </c>
      <c r="K42" s="79">
        <f>'Sensitivity Analysis'!E7</f>
        <v>730.1850615</v>
      </c>
      <c r="L42" s="79">
        <f>'Sensitivity Analysis'!F7</f>
        <v>774.0634047</v>
      </c>
    </row>
    <row r="43">
      <c r="A43" s="66" t="s">
        <v>45</v>
      </c>
      <c r="B43" s="73">
        <f>WACC!B8</f>
        <v>0.07</v>
      </c>
      <c r="C43" s="68"/>
      <c r="G43" s="78">
        <f>'Sensitivity Analysis'!A8</f>
        <v>0.1283</v>
      </c>
      <c r="H43" s="79">
        <f>'Sensitivity Analysis'!B8</f>
        <v>594.9420522</v>
      </c>
      <c r="I43" s="79">
        <f>'Sensitivity Analysis'!C8</f>
        <v>620.2789601</v>
      </c>
      <c r="J43" s="79">
        <f>'Sensitivity Analysis'!D8</f>
        <v>648.8517438</v>
      </c>
      <c r="K43" s="79">
        <f>'Sensitivity Analysis'!E8</f>
        <v>681.3225881</v>
      </c>
      <c r="L43" s="79">
        <f>'Sensitivity Analysis'!F8</f>
        <v>718.5475824</v>
      </c>
    </row>
    <row r="44">
      <c r="H44" s="49"/>
      <c r="I44" s="49"/>
      <c r="J44" s="49"/>
      <c r="K44" s="49"/>
      <c r="L44" s="49"/>
    </row>
    <row r="45">
      <c r="A45" s="80" t="s">
        <v>220</v>
      </c>
      <c r="H45" s="83" t="s">
        <v>221</v>
      </c>
      <c r="I45" s="63"/>
      <c r="J45" s="4"/>
    </row>
    <row r="46">
      <c r="H46" s="84" t="s">
        <v>222</v>
      </c>
      <c r="I46" s="47"/>
      <c r="J46" s="48"/>
    </row>
    <row r="47">
      <c r="G47" s="80"/>
      <c r="H47" s="50"/>
      <c r="I47" s="51"/>
      <c r="J47" s="52"/>
    </row>
  </sheetData>
  <mergeCells count="30">
    <mergeCell ref="G5:H5"/>
    <mergeCell ref="G6:H8"/>
    <mergeCell ref="H11:I11"/>
    <mergeCell ref="H12:I12"/>
    <mergeCell ref="H13:I13"/>
    <mergeCell ref="H14:I14"/>
    <mergeCell ref="H15:I15"/>
    <mergeCell ref="G18:M18"/>
    <mergeCell ref="G10:I10"/>
    <mergeCell ref="A1:K2"/>
    <mergeCell ref="A3:K3"/>
    <mergeCell ref="A5:B5"/>
    <mergeCell ref="D5:E5"/>
    <mergeCell ref="J5:K5"/>
    <mergeCell ref="A6:B8"/>
    <mergeCell ref="J6:K8"/>
    <mergeCell ref="D6:E8"/>
    <mergeCell ref="B43:C43"/>
    <mergeCell ref="A45:G46"/>
    <mergeCell ref="A10:C10"/>
    <mergeCell ref="A18:E18"/>
    <mergeCell ref="B38:C38"/>
    <mergeCell ref="A37:C37"/>
    <mergeCell ref="B41:C41"/>
    <mergeCell ref="B42:C42"/>
    <mergeCell ref="B39:C39"/>
    <mergeCell ref="B40:C40"/>
    <mergeCell ref="G37:L37"/>
    <mergeCell ref="H45:J45"/>
    <mergeCell ref="H46:J47"/>
  </mergeCells>
  <conditionalFormatting sqref="H39:L4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 horizontalCentered="1"/>
  <pageMargins bottom="0.75" footer="0.0" header="0.0" left="0.7" right="0.7" top="0.75"/>
  <pageSetup fitToHeight="0" paperSize="8" cellComments="atEnd" orientation="landscape" pageOrder="overThenDown"/>
  <drawing r:id="rId1"/>
</worksheet>
</file>